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44a3487edbc2a9/Desktop/RPAP5/"/>
    </mc:Choice>
  </mc:AlternateContent>
  <xr:revisionPtr revIDLastSave="2" documentId="8_{F74DDE38-B856-4410-8032-9303D18F6435}" xr6:coauthVersionLast="47" xr6:coauthVersionMax="47" xr10:uidLastSave="{1ECD07CB-FF8A-4387-8027-20B39F99C2B1}"/>
  <bookViews>
    <workbookView xWindow="-96" yWindow="0" windowWidth="11712" windowHeight="12336" firstSheet="4" activeTab="4" xr2:uid="{787B1DC4-261E-4200-974B-6E700DE1F3D9}"/>
  </bookViews>
  <sheets>
    <sheet name="Obresti" sheetId="1" r:id="rId1"/>
    <sheet name="Barva" sheetId="2" r:id="rId2"/>
    <sheet name="Množenje" sheetId="3" r:id="rId3"/>
    <sheet name="Padavine" sheetId="4" r:id="rId4"/>
    <sheet name="kolokviji " sheetId="8" r:id="rId5"/>
    <sheet name="Sladoled " sheetId="10" r:id="rId6"/>
    <sheet name="Honorar " sheetId="12" r:id="rId7"/>
    <sheet name="Temperature" sheetId="13" r:id="rId8"/>
  </sheets>
  <definedNames>
    <definedName name="ExternalData_1" localSheetId="6" hidden="1">'Honorar '!#REF!</definedName>
    <definedName name="ExternalData_1" localSheetId="4" hidden="1">'kolokviji '!$A$1:$I$31</definedName>
    <definedName name="ExternalData_1" localSheetId="5" hidden="1">'Sladoled '!#REF!</definedName>
    <definedName name="ExternalData_1" localSheetId="7" hidden="1">Temperature!$A$11:$N$22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3" l="1"/>
  <c r="N21" i="13"/>
  <c r="N20" i="13"/>
  <c r="N19" i="13"/>
  <c r="N17" i="13"/>
  <c r="N18" i="13"/>
  <c r="N16" i="13"/>
  <c r="D27" i="12"/>
  <c r="D23" i="12"/>
  <c r="D24" i="12"/>
  <c r="D25" i="12"/>
  <c r="D22" i="12"/>
  <c r="F23" i="12"/>
  <c r="F24" i="12"/>
  <c r="F25" i="12"/>
  <c r="F22" i="12"/>
  <c r="H16" i="10"/>
  <c r="J16" i="10" s="1"/>
  <c r="H15" i="10"/>
  <c r="J15" i="10" s="1"/>
  <c r="H14" i="10"/>
  <c r="J14" i="10" s="1"/>
  <c r="J17" i="10" s="1"/>
  <c r="H17" i="10"/>
  <c r="I17" i="10"/>
  <c r="C17" i="10"/>
  <c r="D17" i="10"/>
  <c r="E17" i="10"/>
  <c r="F17" i="10"/>
  <c r="G17" i="10"/>
  <c r="B17" i="10"/>
  <c r="F32" i="8"/>
  <c r="G32" i="8"/>
  <c r="H32" i="8"/>
  <c r="I32" i="8"/>
  <c r="D32" i="8"/>
  <c r="E32" i="8"/>
  <c r="C3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2" i="8"/>
  <c r="J8" i="4"/>
  <c r="E18" i="4" s="1"/>
  <c r="E17" i="4"/>
  <c r="E16" i="4"/>
  <c r="E15" i="4"/>
  <c r="G11" i="4" s="1"/>
  <c r="C2" i="3"/>
  <c r="D2" i="3" s="1"/>
  <c r="E2" i="3"/>
  <c r="F2" i="3"/>
  <c r="B3" i="3"/>
  <c r="B4" i="3" s="1"/>
  <c r="B5" i="3" s="1"/>
  <c r="B6" i="3" s="1"/>
  <c r="B7" i="3" s="1"/>
  <c r="B8" i="3" s="1"/>
  <c r="B9" i="3" s="1"/>
  <c r="B10" i="3" s="1"/>
  <c r="B11" i="3" s="1"/>
  <c r="B9" i="2"/>
  <c r="B8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3" i="1"/>
  <c r="F11" i="4" l="1"/>
  <c r="E11" i="4"/>
  <c r="D11" i="4"/>
  <c r="H4" i="4"/>
  <c r="G4" i="4"/>
  <c r="F4" i="4"/>
  <c r="E4" i="4"/>
  <c r="D4" i="4"/>
  <c r="C11" i="4"/>
  <c r="H11" i="4"/>
  <c r="C4" i="4"/>
  <c r="C11" i="3"/>
  <c r="B12" i="3"/>
  <c r="C12" i="3" s="1"/>
  <c r="G2" i="3"/>
  <c r="F11" i="3"/>
  <c r="F10" i="3"/>
  <c r="F9" i="3"/>
  <c r="F8" i="3"/>
  <c r="F7" i="3"/>
  <c r="F6" i="3"/>
  <c r="F5" i="3"/>
  <c r="D11" i="3"/>
  <c r="D10" i="3"/>
  <c r="D9" i="3"/>
  <c r="D8" i="3"/>
  <c r="D7" i="3"/>
  <c r="D6" i="3"/>
  <c r="D5" i="3"/>
  <c r="D4" i="3"/>
  <c r="D3" i="3"/>
  <c r="F4" i="3"/>
  <c r="F3" i="3"/>
  <c r="E11" i="3"/>
  <c r="E10" i="3"/>
  <c r="E9" i="3"/>
  <c r="E8" i="3"/>
  <c r="E7" i="3"/>
  <c r="E6" i="3"/>
  <c r="E5" i="3"/>
  <c r="E4" i="3"/>
  <c r="E3" i="3"/>
  <c r="C3" i="3"/>
  <c r="C4" i="3"/>
  <c r="C5" i="3"/>
  <c r="C6" i="3"/>
  <c r="C7" i="3"/>
  <c r="C8" i="3"/>
  <c r="C9" i="3"/>
  <c r="C10" i="3"/>
  <c r="E12" i="3" l="1"/>
  <c r="D12" i="3"/>
  <c r="F12" i="3"/>
  <c r="H2" i="3"/>
  <c r="G12" i="3"/>
  <c r="G11" i="3"/>
  <c r="G10" i="3"/>
  <c r="G9" i="3"/>
  <c r="G8" i="3"/>
  <c r="G7" i="3"/>
  <c r="G6" i="3"/>
  <c r="G3" i="3"/>
  <c r="G4" i="3"/>
  <c r="G5" i="3"/>
  <c r="H3" i="3" l="1"/>
  <c r="I2" i="3"/>
  <c r="H12" i="3"/>
  <c r="H11" i="3"/>
  <c r="H10" i="3"/>
  <c r="H9" i="3"/>
  <c r="H8" i="3"/>
  <c r="H7" i="3"/>
  <c r="H4" i="3"/>
  <c r="H5" i="3"/>
  <c r="H6" i="3"/>
  <c r="I4" i="3" l="1"/>
  <c r="I3" i="3"/>
  <c r="J2" i="3"/>
  <c r="I12" i="3"/>
  <c r="I11" i="3"/>
  <c r="I10" i="3"/>
  <c r="I9" i="3"/>
  <c r="I8" i="3"/>
  <c r="I7" i="3"/>
  <c r="I5" i="3"/>
  <c r="I6" i="3"/>
  <c r="J5" i="3" l="1"/>
  <c r="J4" i="3"/>
  <c r="J3" i="3"/>
  <c r="K2" i="3"/>
  <c r="J12" i="3"/>
  <c r="J11" i="3"/>
  <c r="J10" i="3"/>
  <c r="J8" i="3"/>
  <c r="J9" i="3"/>
  <c r="J7" i="3"/>
  <c r="J6" i="3"/>
  <c r="K6" i="3" l="1"/>
  <c r="K5" i="3"/>
  <c r="K4" i="3"/>
  <c r="K3" i="3"/>
  <c r="L2" i="3"/>
  <c r="K12" i="3"/>
  <c r="K11" i="3"/>
  <c r="K8" i="3"/>
  <c r="K9" i="3"/>
  <c r="K10" i="3"/>
  <c r="K7" i="3"/>
  <c r="L7" i="3" l="1"/>
  <c r="L6" i="3"/>
  <c r="L5" i="3"/>
  <c r="L4" i="3"/>
  <c r="L3" i="3"/>
  <c r="L12" i="3"/>
  <c r="L8" i="3"/>
  <c r="L9" i="3"/>
  <c r="L11" i="3"/>
  <c r="L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BED457-A90D-4532-B73A-27A4D954075F}" keepAlive="1" name="Query - Honorar" description="Connection to the 'Honorar' query in the workbook." type="5" refreshedVersion="0" background="1" saveData="1">
    <dbPr connection="Provider=Microsoft.Mashup.OleDb.1;Data Source=$Workbook$;Location=Honorar;Extended Properties=&quot;&quot;" command="SELECT * FROM [Honorar]"/>
  </connection>
  <connection id="2" xr16:uid="{B06136C9-54A5-4728-8305-4BFDDF107889}" keepAlive="1" name="Query - kolokviji" description="Connection to the 'kolokviji' query in the workbook." type="5" refreshedVersion="8" background="1" saveData="1">
    <dbPr connection="Provider=Microsoft.Mashup.OleDb.1;Data Source=$Workbook$;Location=kolokviji;Extended Properties=&quot;&quot;" command="SELECT * FROM [kolokviji]"/>
  </connection>
  <connection id="3" xr16:uid="{227D329D-419D-4552-AB70-17CA39A07408}" keepAlive="1" name="Query - kolokviji (2)" description="Connection to the 'kolokviji (2)' query in the workbook." type="5" refreshedVersion="8" background="1" saveData="1">
    <dbPr connection="Provider=Microsoft.Mashup.OleDb.1;Data Source=$Workbook$;Location=&quot;kolokviji (2)&quot;;Extended Properties=&quot;&quot;" command="SELECT * FROM [kolokviji (2)]"/>
  </connection>
  <connection id="4" xr16:uid="{74225BDD-DB41-4BDA-9ABD-DE6DA6F70685}" keepAlive="1" name="Query - Sladoled" description="Connection to the 'Sladoled' query in the workbook." type="5" refreshedVersion="0" background="1">
    <dbPr connection="Provider=Microsoft.Mashup.OleDb.1;Data Source=$Workbook$;Location=Sladoled;Extended Properties=&quot;&quot;" command="SELECT * FROM [Sladoled]"/>
  </connection>
  <connection id="5" xr16:uid="{4984CF94-A2AF-4AAA-9520-79F0BA579B7C}" keepAlive="1" name="Query - Temperature" description="Connection to the 'Temperature' query in the workbook." type="5" refreshedVersion="8" background="1" saveData="1">
    <dbPr connection="Provider=Microsoft.Mashup.OleDb.1;Data Source=$Workbook$;Location=Temperature;Extended Properties=&quot;&quot;" command="SELECT * FROM [Temperature]"/>
  </connection>
</connections>
</file>

<file path=xl/sharedStrings.xml><?xml version="1.0" encoding="utf-8"?>
<sst xmlns="http://schemas.openxmlformats.org/spreadsheetml/2006/main" count="153" uniqueCount="129">
  <si>
    <t>Leto</t>
  </si>
  <si>
    <t xml:space="preserve"> Stanje</t>
  </si>
  <si>
    <t>stanje</t>
  </si>
  <si>
    <t>Barvanje sobe</t>
  </si>
  <si>
    <t>Datum</t>
  </si>
  <si>
    <t>Širina sobe</t>
  </si>
  <si>
    <t>Dolžina sobe</t>
  </si>
  <si>
    <t>Višina sobe</t>
  </si>
  <si>
    <t>Cena barve za kg</t>
  </si>
  <si>
    <t>Površina</t>
  </si>
  <si>
    <t>Cena barve</t>
  </si>
  <si>
    <t xml:space="preserve">Količina barve za m2 </t>
  </si>
  <si>
    <t>Mesec</t>
  </si>
  <si>
    <t>Padavine</t>
  </si>
  <si>
    <t>Delež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</si>
  <si>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</si>
  <si>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</si>
  <si>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</si>
  <si>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</si>
  <si>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</si>
  <si>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</si>
  <si>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</si>
  <si>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</si>
  <si>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</si>
  <si>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</si>
  <si>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</si>
  <si>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</si>
  <si>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Letna količina</t>
  </si>
  <si>
    <t>Največja mesečna količina</t>
  </si>
  <si>
    <t>Najmanjša mesečna količina</t>
  </si>
  <si>
    <t>Povprečna mesečna količina</t>
  </si>
  <si>
    <t>Priimek</t>
  </si>
  <si>
    <t>Ime</t>
  </si>
  <si>
    <t>K1</t>
  </si>
  <si>
    <t>K2</t>
  </si>
  <si>
    <t>K3</t>
  </si>
  <si>
    <t>Furlan</t>
  </si>
  <si>
    <t>Luka</t>
  </si>
  <si>
    <t>Karakaš</t>
  </si>
  <si>
    <t>Alenka</t>
  </si>
  <si>
    <t>Kočar</t>
  </si>
  <si>
    <t>Petra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</si>
  <si>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</si>
  <si>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</si>
  <si>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</si>
  <si>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</si>
  <si>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</si>
  <si>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</si>
  <si>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</si>
  <si>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</si>
  <si>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</si>
  <si>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</si>
  <si>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</si>
  <si>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</si>
  <si>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</si>
  <si>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</si>
  <si>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</si>
  <si>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</si>
  <si>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 xml:space="preserve">Žveglič 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</si>
  <si>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</si>
  <si>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</si>
  <si>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</si>
  <si>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</si>
  <si>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</si>
  <si>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</si>
  <si>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</si>
  <si>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</si>
  <si>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</si>
  <si>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</si>
  <si>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</si>
  <si>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</si>
  <si>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</si>
  <si>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</si>
  <si>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</si>
  <si>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</si>
  <si>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</si>
  <si>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</si>
  <si>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</si>
  <si>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</si>
  <si>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</si>
  <si>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</si>
  <si>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</si>
  <si>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</si>
  <si>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</si>
  <si>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</si>
  <si>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</si>
  <si>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</si>
  <si>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</si>
  <si>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</si>
  <si>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</si>
  <si>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Povprečje</t>
  </si>
  <si>
    <t>DN</t>
  </si>
  <si>
    <t>udeležba</t>
  </si>
  <si>
    <t>skupaj</t>
  </si>
  <si>
    <t>ocena</t>
  </si>
  <si>
    <t>Avsec</t>
  </si>
  <si>
    <t>Tone</t>
  </si>
  <si>
    <t>Drčar</t>
  </si>
  <si>
    <t>Maja</t>
  </si>
  <si>
    <t>prodajna cena</t>
  </si>
  <si>
    <t>letni izkupiček</t>
  </si>
  <si>
    <t>povprečje</t>
  </si>
  <si>
    <t>število prodanih sloadoledov</t>
  </si>
  <si>
    <t>Avtorski honorarji pri Preseku</t>
  </si>
  <si>
    <t>Točka</t>
  </si>
  <si>
    <t>do 3 strani</t>
  </si>
  <si>
    <t>nad 3 strani</t>
  </si>
  <si>
    <t>ime</t>
  </si>
  <si>
    <t>priimek</t>
  </si>
  <si>
    <t>strani</t>
  </si>
  <si>
    <t>honorar</t>
  </si>
  <si>
    <t>Juvan</t>
  </si>
  <si>
    <t>Simona</t>
  </si>
  <si>
    <t>Černe</t>
  </si>
  <si>
    <t>Marija</t>
  </si>
  <si>
    <t>Vencelj</t>
  </si>
  <si>
    <t>Matija</t>
  </si>
  <si>
    <t>Lokar</t>
  </si>
  <si>
    <t>Skupni stroški</t>
  </si>
  <si>
    <t>Temperature v Ljubljani: 1961-1990</t>
  </si>
  <si>
    <t>aug</t>
  </si>
  <si>
    <t>leto</t>
  </si>
  <si>
    <t>povprečna temperatura</t>
  </si>
  <si>
    <t>povp. najvišja dnevna temperatura</t>
  </si>
  <si>
    <t>povp. najnižja dnevna temperatura</t>
  </si>
  <si>
    <t>absolutna najvišja temperatura</t>
  </si>
  <si>
    <t>absolutna najnižja temperatura</t>
  </si>
  <si>
    <t>št. dni z najnižjo temp. &lt;= 0 °C</t>
  </si>
  <si>
    <t>št. dni z najvišjo temp. &gt;= 25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</si>
</sst>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\ &quot;m&quot;"/>
    <numFmt numFmtId="165" formatCode="0.0\ &quot;kg&quot;"/>
    <numFmt numFmtId="166" formatCode="#,##0.00\ &quot;€&quot;"/>
    <numFmt numFmtId="167" formatCode="0.00\ &quot;m²&quot;"/>
    <numFmt numFmtId="168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3" applyNumberFormat="0" applyAlignment="0" applyProtection="0"/>
    <xf numFmtId="0" fontId="1" fillId="6" borderId="4" applyNumberFormat="0" applyFont="0" applyAlignment="0" applyProtection="0"/>
    <xf numFmtId="0" fontId="1" fillId="7" borderId="0" applyNumberFormat="0" applyBorder="0" applyAlignment="0" applyProtection="0"/>
    <xf numFmtId="0" fontId="1" fillId="0" borderId="0" applyFont="0" applyAlignment="0">
      <alignment horizontal="center"/>
    </xf>
  </cellStyleXfs>
  <cellXfs count="87">
    <xf numFmtId="0" fontId="0" fillId="0" borderId="0" xfId="0"/>
    <xf numFmtId="2" fontId="0" fillId="0" borderId="0" xfId="0" applyNumberFormat="1"/>
    <xf numFmtId="0" fontId="2" fillId="2" borderId="2" xfId="1" applyAlignment="1">
      <alignment horizontal="center"/>
    </xf>
    <xf numFmtId="0" fontId="2" fillId="2" borderId="2" xfId="1"/>
    <xf numFmtId="10" fontId="0" fillId="0" borderId="0" xfId="0" applyNumberFormat="1"/>
    <xf numFmtId="0" fontId="2" fillId="2" borderId="2" xfId="1" applyAlignment="1">
      <alignment horizontal="center" vertical="center"/>
    </xf>
    <xf numFmtId="10" fontId="2" fillId="2" borderId="2" xfId="1" applyNumberFormat="1" applyAlignment="1">
      <alignment horizontal="center" vertical="center"/>
    </xf>
    <xf numFmtId="10" fontId="2" fillId="2" borderId="2" xfId="1" applyNumberFormat="1" applyAlignment="1">
      <alignment horizontal="center"/>
    </xf>
    <xf numFmtId="0" fontId="3" fillId="0" borderId="0" xfId="0" applyFont="1"/>
    <xf numFmtId="0" fontId="5" fillId="5" borderId="3" xfId="4"/>
    <xf numFmtId="14" fontId="7" fillId="6" borderId="4" xfId="5" applyNumberFormat="1" applyFont="1"/>
    <xf numFmtId="164" fontId="7" fillId="6" borderId="4" xfId="5" applyNumberFormat="1" applyFont="1"/>
    <xf numFmtId="165" fontId="7" fillId="6" borderId="4" xfId="5" applyNumberFormat="1" applyFont="1"/>
    <xf numFmtId="166" fontId="7" fillId="6" borderId="4" xfId="5" applyNumberFormat="1" applyFont="1"/>
    <xf numFmtId="167" fontId="2" fillId="6" borderId="4" xfId="5" applyNumberFormat="1" applyFont="1"/>
    <xf numFmtId="166" fontId="2" fillId="6" borderId="4" xfId="5" applyNumberFormat="1" applyFont="1"/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9" xfId="0" applyBorder="1"/>
    <xf numFmtId="0" fontId="1" fillId="7" borderId="10" xfId="6" applyBorder="1" applyAlignment="1">
      <alignment horizontal="center"/>
    </xf>
    <xf numFmtId="0" fontId="1" fillId="7" borderId="12" xfId="6" applyBorder="1" applyAlignment="1">
      <alignment horizontal="center"/>
    </xf>
    <xf numFmtId="0" fontId="1" fillId="7" borderId="15" xfId="6" applyBorder="1" applyAlignment="1">
      <alignment horizontal="center"/>
    </xf>
    <xf numFmtId="0" fontId="0" fillId="8" borderId="27" xfId="0" applyFill="1" applyBorder="1"/>
    <xf numFmtId="0" fontId="5" fillId="9" borderId="27" xfId="0" applyFont="1" applyFill="1" applyBorder="1"/>
    <xf numFmtId="0" fontId="0" fillId="10" borderId="0" xfId="0" applyFill="1"/>
    <xf numFmtId="0" fontId="0" fillId="0" borderId="27" xfId="0" applyBorder="1"/>
    <xf numFmtId="2" fontId="0" fillId="10" borderId="0" xfId="0" applyNumberFormat="1" applyFill="1"/>
    <xf numFmtId="0" fontId="4" fillId="4" borderId="8" xfId="3" applyBorder="1" applyAlignment="1">
      <alignment horizontal="center"/>
    </xf>
    <xf numFmtId="0" fontId="4" fillId="4" borderId="9" xfId="3" applyBorder="1" applyAlignment="1">
      <alignment horizontal="center"/>
    </xf>
    <xf numFmtId="0" fontId="4" fillId="4" borderId="30" xfId="3" applyBorder="1" applyAlignment="1">
      <alignment horizontal="center"/>
    </xf>
    <xf numFmtId="0" fontId="4" fillId="4" borderId="31" xfId="3" applyBorder="1" applyAlignment="1">
      <alignment horizontal="center"/>
    </xf>
    <xf numFmtId="0" fontId="4" fillId="4" borderId="32" xfId="3" applyBorder="1" applyAlignment="1">
      <alignment horizontal="center"/>
    </xf>
    <xf numFmtId="0" fontId="4" fillId="4" borderId="14" xfId="3" applyBorder="1" applyAlignment="1">
      <alignment horizontal="center"/>
    </xf>
    <xf numFmtId="0" fontId="4" fillId="4" borderId="36" xfId="3" applyBorder="1" applyAlignment="1">
      <alignment horizontal="center"/>
    </xf>
    <xf numFmtId="0" fontId="4" fillId="4" borderId="23" xfId="3" applyBorder="1" applyAlignment="1">
      <alignment horizontal="center"/>
    </xf>
    <xf numFmtId="0" fontId="4" fillId="4" borderId="29" xfId="3" applyBorder="1" applyAlignment="1">
      <alignment horizontal="center"/>
    </xf>
    <xf numFmtId="0" fontId="4" fillId="4" borderId="22" xfId="3" applyBorder="1" applyAlignment="1">
      <alignment horizontal="center"/>
    </xf>
    <xf numFmtId="0" fontId="4" fillId="4" borderId="37" xfId="3" applyBorder="1" applyAlignment="1">
      <alignment horizontal="center"/>
    </xf>
    <xf numFmtId="0" fontId="4" fillId="4" borderId="28" xfId="3" applyBorder="1" applyAlignment="1">
      <alignment horizontal="center"/>
    </xf>
    <xf numFmtId="0" fontId="4" fillId="4" borderId="5" xfId="3" applyBorder="1" applyAlignment="1">
      <alignment horizontal="center"/>
    </xf>
    <xf numFmtId="0" fontId="4" fillId="4" borderId="17" xfId="3" applyBorder="1" applyAlignment="1">
      <alignment horizontal="center"/>
    </xf>
    <xf numFmtId="0" fontId="4" fillId="4" borderId="38" xfId="3" applyBorder="1" applyAlignment="1">
      <alignment horizontal="center"/>
    </xf>
    <xf numFmtId="0" fontId="4" fillId="4" borderId="21" xfId="3" applyBorder="1" applyAlignment="1">
      <alignment horizontal="center"/>
    </xf>
    <xf numFmtId="0" fontId="4" fillId="4" borderId="19" xfId="3" applyBorder="1" applyAlignment="1">
      <alignment horizontal="center"/>
    </xf>
    <xf numFmtId="0" fontId="4" fillId="4" borderId="20" xfId="3" applyBorder="1" applyAlignment="1">
      <alignment horizontal="center"/>
    </xf>
    <xf numFmtId="0" fontId="4" fillId="4" borderId="7" xfId="3" applyBorder="1" applyAlignment="1">
      <alignment horizontal="center"/>
    </xf>
    <xf numFmtId="2" fontId="4" fillId="4" borderId="33" xfId="3" applyNumberFormat="1" applyBorder="1" applyAlignment="1">
      <alignment horizontal="center"/>
    </xf>
    <xf numFmtId="2" fontId="4" fillId="4" borderId="10" xfId="3" applyNumberFormat="1" applyBorder="1" applyAlignment="1">
      <alignment horizontal="center"/>
    </xf>
    <xf numFmtId="0" fontId="0" fillId="0" borderId="8" xfId="0" applyBorder="1"/>
    <xf numFmtId="0" fontId="0" fillId="0" borderId="11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17" xfId="0" applyBorder="1"/>
    <xf numFmtId="0" fontId="0" fillId="0" borderId="39" xfId="0" applyBorder="1"/>
    <xf numFmtId="0" fontId="0" fillId="0" borderId="16" xfId="0" applyBorder="1"/>
    <xf numFmtId="0" fontId="6" fillId="0" borderId="27" xfId="0" applyFont="1" applyBorder="1"/>
    <xf numFmtId="0" fontId="6" fillId="0" borderId="0" xfId="0" applyFont="1"/>
    <xf numFmtId="0" fontId="2" fillId="2" borderId="2" xfId="1" applyNumberFormat="1"/>
    <xf numFmtId="168" fontId="2" fillId="2" borderId="2" xfId="1" applyNumberFormat="1"/>
    <xf numFmtId="0" fontId="2" fillId="2" borderId="2" xfId="1" applyAlignment="1">
      <alignment horizontal="center"/>
    </xf>
    <xf numFmtId="0" fontId="1" fillId="7" borderId="8" xfId="6" applyBorder="1" applyAlignment="1">
      <alignment horizontal="center"/>
    </xf>
    <xf numFmtId="0" fontId="1" fillId="7" borderId="9" xfId="6" applyBorder="1" applyAlignment="1">
      <alignment horizontal="center"/>
    </xf>
    <xf numFmtId="0" fontId="1" fillId="7" borderId="11" xfId="6" applyBorder="1" applyAlignment="1">
      <alignment horizontal="center"/>
    </xf>
    <xf numFmtId="0" fontId="1" fillId="7" borderId="5" xfId="6" applyBorder="1" applyAlignment="1">
      <alignment horizontal="center"/>
    </xf>
    <xf numFmtId="0" fontId="1" fillId="7" borderId="24" xfId="6" applyBorder="1" applyAlignment="1">
      <alignment horizontal="center"/>
    </xf>
    <xf numFmtId="0" fontId="1" fillId="7" borderId="25" xfId="6" applyBorder="1" applyAlignment="1">
      <alignment horizontal="center"/>
    </xf>
    <xf numFmtId="0" fontId="1" fillId="7" borderId="26" xfId="6" applyBorder="1" applyAlignment="1">
      <alignment horizontal="center"/>
    </xf>
    <xf numFmtId="0" fontId="4" fillId="4" borderId="33" xfId="3" applyBorder="1" applyAlignment="1">
      <alignment horizontal="center"/>
    </xf>
    <xf numFmtId="0" fontId="4" fillId="4" borderId="34" xfId="3" applyBorder="1" applyAlignment="1">
      <alignment horizontal="center"/>
    </xf>
    <xf numFmtId="0" fontId="4" fillId="4" borderId="35" xfId="3" applyBorder="1" applyAlignment="1">
      <alignment horizontal="center"/>
    </xf>
    <xf numFmtId="0" fontId="4" fillId="4" borderId="8" xfId="3" applyBorder="1" applyAlignment="1">
      <alignment horizontal="center"/>
    </xf>
    <xf numFmtId="0" fontId="4" fillId="4" borderId="13" xfId="3" applyBorder="1" applyAlignment="1">
      <alignment horizontal="center"/>
    </xf>
    <xf numFmtId="0" fontId="4" fillId="4" borderId="9" xfId="3" applyBorder="1" applyAlignment="1">
      <alignment horizontal="center"/>
    </xf>
    <xf numFmtId="0" fontId="4" fillId="4" borderId="14" xfId="3" applyBorder="1" applyAlignment="1">
      <alignment horizontal="center"/>
    </xf>
    <xf numFmtId="0" fontId="4" fillId="4" borderId="10" xfId="3" applyBorder="1" applyAlignment="1">
      <alignment horizontal="center"/>
    </xf>
    <xf numFmtId="0" fontId="4" fillId="4" borderId="15" xfId="3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8">
    <cellStyle name="20% - Accent1" xfId="2" builtinId="30"/>
    <cellStyle name="40% - Accent1" xfId="6" builtinId="31"/>
    <cellStyle name="Check Cell" xfId="4" builtinId="23"/>
    <cellStyle name="Good" xfId="3" builtinId="26"/>
    <cellStyle name="Normal" xfId="0" builtinId="0"/>
    <cellStyle name="Note" xfId="5" builtinId="10"/>
    <cellStyle name="Output" xfId="1" builtinId="21"/>
    <cellStyle name="Style 1" xfId="7" xr:uid="{4329C492-DC60-45FF-AE42-AFF02A853D29}"/>
  </cellStyles>
  <dxfs count="18">
    <dxf>
      <font>
        <color rgb="FFFF0000"/>
      </font>
    </dxf>
    <dxf>
      <font>
        <color rgb="FFFF0000"/>
      </font>
    </dxf>
    <dxf>
      <font>
        <color rgb="FF00B0F0"/>
      </font>
      <fill>
        <patternFill>
          <bgColor rgb="FF00B050"/>
        </patternFill>
      </fill>
    </dxf>
    <dxf>
      <font>
        <color theme="4" tint="-0.24994659260841701"/>
      </font>
      <fill>
        <patternFill patternType="gray0625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Padavine!$B$3</c:f>
              <c:strCache>
                <c:ptCount val="1"/>
                <c:pt idx="0">
                  <c:v>Padavine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(Padavine!$C$2:$H$2,Padavine!$C$9:$H$9)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(Padavine!$C$3:$H$3,Padavine!$C$10:$H$10)</c:f>
              <c:numCache>
                <c:formatCode>General</c:formatCode>
                <c:ptCount val="12"/>
                <c:pt idx="0">
                  <c:v>120</c:v>
                </c:pt>
                <c:pt idx="1">
                  <c:v>45</c:v>
                </c:pt>
                <c:pt idx="2">
                  <c:v>60</c:v>
                </c:pt>
                <c:pt idx="3">
                  <c:v>210</c:v>
                </c:pt>
                <c:pt idx="4">
                  <c:v>160</c:v>
                </c:pt>
                <c:pt idx="5">
                  <c:v>35</c:v>
                </c:pt>
                <c:pt idx="6">
                  <c:v>20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90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3-405B-881C-A6BF3C1FF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7644735"/>
        <c:axId val="1127645695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Padavine!$C$9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(Padavine!$C$2:$H$2,Padavine!$C$9:$H$9)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maj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avg</c:v>
                      </c:pt>
                      <c:pt idx="8">
                        <c:v>sep</c:v>
                      </c:pt>
                      <c:pt idx="9">
                        <c:v>okt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Padavine!$C$10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713-405B-881C-A6BF3C1FFF02}"/>
                  </c:ext>
                </c:extLst>
              </c15:ser>
            </c15:filteredBarSeries>
          </c:ext>
        </c:extLst>
      </c:bar3DChart>
      <c:catAx>
        <c:axId val="112764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Meseci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645695"/>
        <c:crosses val="autoZero"/>
        <c:auto val="1"/>
        <c:lblAlgn val="ctr"/>
        <c:lblOffset val="100"/>
        <c:noMultiLvlLbl val="0"/>
      </c:catAx>
      <c:valAx>
        <c:axId val="11276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Padavine v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64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Prodaja</a:t>
            </a:r>
            <a:r>
              <a:rPr lang="en-GB" baseline="0"/>
              <a:t> sladoleda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40744084061001"/>
          <c:y val="0.17171296296296296"/>
          <c:w val="0.6067712662477917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'Sladoled '!$A$14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'Sladoled '!$B$12:$G$13</c15:sqref>
                  </c15:fullRef>
                  <c15:levelRef>
                    <c15:sqref>'Sladoled '!$B$13:$G$13</c15:sqref>
                  </c15:levelRef>
                </c:ext>
              </c:extLst>
              <c:f>'Sladoled '!$B$13:$G$13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'Sladoled '!$B$14:$G$14</c:f>
              <c:numCache>
                <c:formatCode>General</c:formatCode>
                <c:ptCount val="6"/>
                <c:pt idx="0">
                  <c:v>112</c:v>
                </c:pt>
                <c:pt idx="1">
                  <c:v>165</c:v>
                </c:pt>
                <c:pt idx="2">
                  <c:v>233</c:v>
                </c:pt>
                <c:pt idx="3">
                  <c:v>247</c:v>
                </c:pt>
                <c:pt idx="4">
                  <c:v>123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0-4255-B979-1985FFE4D0A6}"/>
            </c:ext>
          </c:extLst>
        </c:ser>
        <c:ser>
          <c:idx val="1"/>
          <c:order val="1"/>
          <c:tx>
            <c:strRef>
              <c:f>'Sladoled '!$A$15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'Sladoled '!$B$12:$G$13</c15:sqref>
                  </c15:fullRef>
                  <c15:levelRef>
                    <c15:sqref>'Sladoled '!$B$13:$G$13</c15:sqref>
                  </c15:levelRef>
                </c:ext>
              </c:extLst>
              <c:f>'Sladoled '!$B$13:$G$13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'Sladoled '!$B$15:$G$15</c:f>
              <c:numCache>
                <c:formatCode>General</c:formatCode>
                <c:ptCount val="6"/>
                <c:pt idx="0">
                  <c:v>124</c:v>
                </c:pt>
                <c:pt idx="1">
                  <c:v>182</c:v>
                </c:pt>
                <c:pt idx="2">
                  <c:v>246</c:v>
                </c:pt>
                <c:pt idx="3">
                  <c:v>252</c:v>
                </c:pt>
                <c:pt idx="4">
                  <c:v>147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0-4255-B979-1985FFE4D0A6}"/>
            </c:ext>
          </c:extLst>
        </c:ser>
        <c:ser>
          <c:idx val="2"/>
          <c:order val="2"/>
          <c:tx>
            <c:strRef>
              <c:f>'Sladoled '!$A$16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'Sladoled '!$B$12:$G$13</c15:sqref>
                  </c15:fullRef>
                  <c15:levelRef>
                    <c15:sqref>'Sladoled '!$B$13:$G$13</c15:sqref>
                  </c15:levelRef>
                </c:ext>
              </c:extLst>
              <c:f>'Sladoled '!$B$13:$G$13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'Sladoled '!$B$16:$G$16</c:f>
              <c:numCache>
                <c:formatCode>General</c:formatCode>
                <c:ptCount val="6"/>
                <c:pt idx="0">
                  <c:v>144</c:v>
                </c:pt>
                <c:pt idx="1">
                  <c:v>215</c:v>
                </c:pt>
                <c:pt idx="2">
                  <c:v>175</c:v>
                </c:pt>
                <c:pt idx="3">
                  <c:v>162</c:v>
                </c:pt>
                <c:pt idx="4">
                  <c:v>133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0-4255-B979-1985FFE4D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483391"/>
        <c:axId val="51448387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'Sladoled '!$A$17</c15:sqref>
                        </c15:formulaRef>
                      </c:ext>
                    </c:extLst>
                    <c:strCache>
                      <c:ptCount val="1"/>
                      <c:pt idx="0">
                        <c:v>povprečje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'Sladoled '!$B$12:$G$13</c15:sqref>
                        </c15:fullRef>
                        <c15:levelRef>
                          <c15:sqref>'Sladoled '!$B$13:$G$13</c15:sqref>
                        </c15:levelRef>
                        <c15:formulaRef>
                          <c15:sqref>'Sladoled '!$B$13:$G$13</c15:sqref>
                        </c15:formulaRef>
                      </c:ext>
                    </c:extLst>
                    <c:strCache>
                      <c:ptCount val="6"/>
                      <c:pt idx="0">
                        <c:v>maj</c:v>
                      </c:pt>
                      <c:pt idx="1">
                        <c:v>jun</c:v>
                      </c:pt>
                      <c:pt idx="2">
                        <c:v>jul</c:v>
                      </c:pt>
                      <c:pt idx="3">
                        <c:v>avg</c:v>
                      </c:pt>
                      <c:pt idx="4">
                        <c:v>sep</c:v>
                      </c:pt>
                      <c:pt idx="5">
                        <c:v>okt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'Sladoled '!$B$17:$G$17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126.66666666666667</c:v>
                      </c:pt>
                      <c:pt idx="1">
                        <c:v>187.33333333333334</c:v>
                      </c:pt>
                      <c:pt idx="2">
                        <c:v>218</c:v>
                      </c:pt>
                      <c:pt idx="3">
                        <c:v>220.33333333333334</c:v>
                      </c:pt>
                      <c:pt idx="4">
                        <c:v>134.33333333333334</c:v>
                      </c:pt>
                      <c:pt idx="5">
                        <c:v>88.333333333333329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DB0-4255-B979-1985FFE4D0A6}"/>
                  </c:ext>
                </c:extLst>
              </c15:ser>
            </c15:filteredBarSeries>
          </c:ext>
        </c:extLst>
      </c:barChart>
      <c:catAx>
        <c:axId val="51448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83871"/>
        <c:crosses val="autoZero"/>
        <c:auto val="1"/>
        <c:lblAlgn val="ctr"/>
        <c:lblOffset val="100"/>
        <c:noMultiLvlLbl val="0"/>
      </c:catAx>
      <c:valAx>
        <c:axId val="5144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število prodanih sloadoledov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8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71238064938857"/>
          <c:y val="0.28579760863225429"/>
          <c:w val="9.3420330034503257E-2"/>
          <c:h val="0.39641367745698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Delež</a:t>
            </a:r>
            <a:r>
              <a:rPr lang="en-GB" baseline="0"/>
              <a:t> ikupička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555555555558E-2"/>
          <c:y val="0.19084415368677304"/>
          <c:w val="0.81388888888888888"/>
          <c:h val="0.703045102676319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D39-4C69-822F-7E0FBEF414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39-4C69-822F-7E0FBEF414F3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D39-4C69-822F-7E0FBEF414F3}"/>
              </c:ext>
            </c:extLst>
          </c:dPt>
          <c:dLbls>
            <c:dLbl>
              <c:idx val="0"/>
              <c:layout>
                <c:manualLayout>
                  <c:x val="-8.3332239720034992E-3"/>
                  <c:y val="-6.01851851851851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0C4494F-D988-4BA5-A216-15C6D663A632}" type="VALUE">
                      <a:rPr lang="en-US"/>
                      <a:pPr>
                        <a:defRPr/>
                      </a:pPr>
                      <a:t>[VALUE]</a:t>
                    </a:fld>
                    <a:fld id="{EA09092C-C5C2-4616-8ED1-79CCBBFFD969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88888888888864E-2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D39-4C69-822F-7E0FBEF414F3}"/>
                </c:ext>
              </c:extLst>
            </c:dLbl>
            <c:dLbl>
              <c:idx val="1"/>
              <c:layout>
                <c:manualLayout>
                  <c:x val="0.30277777777777776"/>
                  <c:y val="-5.945516160307363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FC437E-B99A-4AF7-AB58-E39A6BF7B578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 </a:t>
                    </a:r>
                    <a:fld id="{87601886-B745-4536-8342-F83FB15073A7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111111111111105E-2"/>
                      <c:h val="0.1516483483293011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D39-4C69-822F-7E0FBEF414F3}"/>
                </c:ext>
              </c:extLst>
            </c:dLbl>
            <c:dLbl>
              <c:idx val="2"/>
              <c:layout>
                <c:manualLayout>
                  <c:x val="-4.1665573053368456E-3"/>
                  <c:y val="-4.41120061373226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6492B9-B12D-4036-A27F-A58440AF6CA7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 </a:t>
                    </a:r>
                    <a:fld id="{F6BBC76E-77AC-4E2F-B999-5CBAA2E8802A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88888888888878E-2"/>
                      <c:h val="0.122689065477862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D39-4C69-822F-7E0FBEF414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'Sladoled '!$A$14:$A$16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9-4C69-822F-7E0FBEF414F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04-47D2-80BC-E98BAAA2B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04-47D2-80BC-E98BAAA2B6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04-47D2-80BC-E98BAAA2B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'Sladoled '!$J$14:$J$16</c:f>
              <c:numCache>
                <c:formatCode>0.00</c:formatCode>
                <c:ptCount val="3"/>
                <c:pt idx="0">
                  <c:v>754.40000000000009</c:v>
                </c:pt>
                <c:pt idx="1">
                  <c:v>1048</c:v>
                </c:pt>
                <c:pt idx="2">
                  <c:v>1027.4000000000001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9-4C69-822F-7E0FBEF414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Razdelitev</a:t>
            </a:r>
            <a:r>
              <a:rPr lang="en-GB" baseline="0"/>
              <a:t> honorarjev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31780402449693"/>
          <c:y val="0.16184893554972296"/>
          <c:w val="0.40047572178477692"/>
          <c:h val="0.6674595363079615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24-4712-991C-DFEFCC7896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24-4712-991C-DFEFCC7896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4-4712-991C-DFEFCC7896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24-4712-991C-DFEFCC7896E7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00ECE9-77B3-42F4-8967-A7E28BD5ABFB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 </a:t>
                    </a:r>
                    <a:fld id="{40417C79-4348-4173-AA22-A48D534C4AA8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972222222222224E-2"/>
                      <c:h val="0.1758566637503645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424-4712-991C-DFEFCC7896E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4F9136-AFCF-4021-9E2F-65C8575C88D0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 </a:t>
                    </a:r>
                    <a:fld id="{B4CD4D15-D69C-4FDE-826C-AB79A97A39C6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652887139107598E-2"/>
                      <c:h val="0.1283213035870516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424-4712-991C-DFEFCC7896E7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47C816-C893-489A-A836-D7E37C29CA5C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 </a:t>
                    </a:r>
                    <a:fld id="{8BBCD921-025D-45F3-93D0-AB71A58EDC5F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597331583552058E-2"/>
                      <c:h val="0.1295603674540682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424-4712-991C-DFEFCC7896E7}"/>
                </c:ext>
              </c:extLst>
            </c:dLbl>
            <c:dLbl>
              <c:idx val="3"/>
              <c:layout>
                <c:manualLayout>
                  <c:x val="-3.6111001749781275E-2"/>
                  <c:y val="8.79631452318460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389CD7-7734-4A91-B76B-724299DB2B13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 </a:t>
                    </a:r>
                    <a:fld id="{9B690E31-432B-4FEE-A1F6-92F078CD3665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624890638670159E-2"/>
                      <c:h val="0.14344925634295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424-4712-991C-DFEFCC789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'Honorar '!$B$22:$B$25</c:f>
              <c:strCache>
                <c:ptCount val="4"/>
                <c:pt idx="0">
                  <c:v>Juvan</c:v>
                </c:pt>
                <c:pt idx="1">
                  <c:v>Černe</c:v>
                </c:pt>
                <c:pt idx="2">
                  <c:v>Vencelj</c:v>
                </c:pt>
                <c:pt idx="3">
                  <c:v>Lokar</c:v>
                </c:pt>
              </c:strCache>
            </c:strRef>
          </c:cat>
          <c:val>
            <c:numRef>
              <c:f>'Honorar '!$D$22:$D$25</c:f>
              <c:numCache>
                <c:formatCode>General</c:formatCode>
                <c:ptCount val="4"/>
                <c:pt idx="0">
                  <c:v>36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4-4712-991C-DFEFCC7896E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Povprečne</a:t>
            </a:r>
            <a:r>
              <a:rPr lang="en-GB" baseline="0"/>
              <a:t>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803239863242678E-2"/>
          <c:y val="0.12394747006566244"/>
          <c:w val="0.91351633831190637"/>
          <c:h val="0.66651125445935711"/>
        </c:manualLayout>
      </c:layout>
      <c:lineChart>
        <c:grouping val="standard"/>
        <c:varyColors val="0"/>
        <c:ser>
          <c:idx val="0"/>
          <c:order val="0"/>
          <c:tx>
            <c:strRef>
              <c:f>Temperature!$A$16</c:f>
              <c:strCache>
                <c:ptCount val="1"/>
                <c:pt idx="0">
                  <c:v>povprečna 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Temperature!$B$15:$M$15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Temperature!$B$16:$M$16</c:f>
              <c:numCache>
                <c:formatCode>General</c:formatCode>
                <c:ptCount val="12"/>
                <c:pt idx="0">
                  <c:v>-1.1000000000000001</c:v>
                </c:pt>
                <c:pt idx="1">
                  <c:v>1.4</c:v>
                </c:pt>
                <c:pt idx="2">
                  <c:v>5.4</c:v>
                </c:pt>
                <c:pt idx="3">
                  <c:v>9.9</c:v>
                </c:pt>
                <c:pt idx="4">
                  <c:v>14.6</c:v>
                </c:pt>
                <c:pt idx="5">
                  <c:v>17.8</c:v>
                </c:pt>
                <c:pt idx="6">
                  <c:v>19.899999999999999</c:v>
                </c:pt>
                <c:pt idx="7">
                  <c:v>19.100000000000001</c:v>
                </c:pt>
                <c:pt idx="8">
                  <c:v>15.5</c:v>
                </c:pt>
                <c:pt idx="9">
                  <c:v>10.4</c:v>
                </c:pt>
                <c:pt idx="10">
                  <c:v>4.5999999999999996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C-43FD-B91E-5E4BF8DE3EC7}"/>
            </c:ext>
          </c:extLst>
        </c:ser>
        <c:ser>
          <c:idx val="1"/>
          <c:order val="1"/>
          <c:tx>
            <c:strRef>
              <c:f>Temperature!$A$17</c:f>
              <c:strCache>
                <c:ptCount val="1"/>
                <c:pt idx="0">
                  <c:v>povp. najvišja dnevna temperatura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Temperature!$B$15:$M$15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Temperature!$B$17:$M$17</c:f>
              <c:numCache>
                <c:formatCode>General</c:formatCode>
                <c:ptCount val="12"/>
                <c:pt idx="0">
                  <c:v>2</c:v>
                </c:pt>
                <c:pt idx="1">
                  <c:v>5.5</c:v>
                </c:pt>
                <c:pt idx="2">
                  <c:v>10.4</c:v>
                </c:pt>
                <c:pt idx="3">
                  <c:v>15.4</c:v>
                </c:pt>
                <c:pt idx="4">
                  <c:v>20.399999999999999</c:v>
                </c:pt>
                <c:pt idx="5">
                  <c:v>23.6</c:v>
                </c:pt>
                <c:pt idx="6">
                  <c:v>26.1</c:v>
                </c:pt>
                <c:pt idx="7">
                  <c:v>25.4</c:v>
                </c:pt>
                <c:pt idx="8">
                  <c:v>21.6</c:v>
                </c:pt>
                <c:pt idx="9">
                  <c:v>15.8</c:v>
                </c:pt>
                <c:pt idx="10">
                  <c:v>8.1999999999999993</c:v>
                </c:pt>
                <c:pt idx="11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C-43FD-B91E-5E4BF8DE3EC7}"/>
            </c:ext>
          </c:extLst>
        </c:ser>
        <c:ser>
          <c:idx val="2"/>
          <c:order val="2"/>
          <c:tx>
            <c:strRef>
              <c:f>Temperature!$A$18</c:f>
              <c:strCache>
                <c:ptCount val="1"/>
                <c:pt idx="0">
                  <c:v>povp. najnižja dnevna temperatura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Temperature!$B$15:$M$15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Temperature!$B$18:$M$18</c:f>
              <c:numCache>
                <c:formatCode>General</c:formatCode>
                <c:ptCount val="12"/>
                <c:pt idx="0">
                  <c:v>-3.8</c:v>
                </c:pt>
                <c:pt idx="1">
                  <c:v>-2</c:v>
                </c:pt>
                <c:pt idx="2">
                  <c:v>0.9</c:v>
                </c:pt>
                <c:pt idx="3">
                  <c:v>4.7</c:v>
                </c:pt>
                <c:pt idx="4">
                  <c:v>9</c:v>
                </c:pt>
                <c:pt idx="5">
                  <c:v>12.4</c:v>
                </c:pt>
                <c:pt idx="6">
                  <c:v>14.1</c:v>
                </c:pt>
                <c:pt idx="7">
                  <c:v>13.8</c:v>
                </c:pt>
                <c:pt idx="8">
                  <c:v>10.9</c:v>
                </c:pt>
                <c:pt idx="9">
                  <c:v>6.5</c:v>
                </c:pt>
                <c:pt idx="10">
                  <c:v>1.7</c:v>
                </c:pt>
                <c:pt idx="11">
                  <c:v>-2.2999999999999998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1C-43FD-B91E-5E4BF8DE3EC7}"/>
            </c:ext>
          </c:extLst>
        </c:ser>
        <c:ser>
          <c:idx val="3"/>
          <c:order val="3"/>
          <c:tx>
            <c:strRef>
              <c:f>Temperature!$A$19</c:f>
              <c:strCache>
                <c:ptCount val="1"/>
                <c:pt idx="0">
                  <c:v>absolutna najvišja temperatura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Temperature!$B$15:$M$15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Temperature!$B$19:$M$19</c:f>
              <c:numCache>
                <c:formatCode>General</c:formatCode>
                <c:ptCount val="12"/>
                <c:pt idx="0">
                  <c:v>14.8</c:v>
                </c:pt>
                <c:pt idx="1">
                  <c:v>18.899999999999999</c:v>
                </c:pt>
                <c:pt idx="2">
                  <c:v>24.6</c:v>
                </c:pt>
                <c:pt idx="3">
                  <c:v>29.3</c:v>
                </c:pt>
                <c:pt idx="4">
                  <c:v>31.1</c:v>
                </c:pt>
                <c:pt idx="5">
                  <c:v>34.700000000000003</c:v>
                </c:pt>
                <c:pt idx="6">
                  <c:v>37.1</c:v>
                </c:pt>
                <c:pt idx="7">
                  <c:v>36.5</c:v>
                </c:pt>
                <c:pt idx="8">
                  <c:v>31.5</c:v>
                </c:pt>
                <c:pt idx="9">
                  <c:v>26.9</c:v>
                </c:pt>
                <c:pt idx="10">
                  <c:v>21.9</c:v>
                </c:pt>
                <c:pt idx="11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1C-43FD-B91E-5E4BF8DE3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446335"/>
        <c:axId val="1572447775"/>
      </c:lineChart>
      <c:catAx>
        <c:axId val="15724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447775"/>
        <c:crosses val="autoZero"/>
        <c:auto val="1"/>
        <c:lblAlgn val="ctr"/>
        <c:lblOffset val="100"/>
        <c:noMultiLvlLbl val="0"/>
      </c:catAx>
      <c:valAx>
        <c:axId val="15724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44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171450</xdr:rowOff>
    </xdr:from>
    <xdr:to>
      <xdr:col>15</xdr:col>
      <xdr:colOff>495300</xdr:colOff>
      <xdr:row>15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BAEE2C-8EBA-6E60-7EC2-D801CF0F2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18</xdr:row>
      <xdr:rowOff>49530</xdr:rowOff>
    </xdr:from>
    <xdr:to>
      <xdr:col>4</xdr:col>
      <xdr:colOff>541020</xdr:colOff>
      <xdr:row>33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52036-B8A9-1A7E-5A74-E8ADA49EB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167640</xdr:colOff>
      <xdr:row>16</xdr:row>
      <xdr:rowOff>95250</xdr:rowOff>
    </xdr:from>
    <xdr:to>
      <xdr:col>9</xdr:col>
      <xdr:colOff>213360</xdr:colOff>
      <xdr:row>34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C69E0D-FC21-6988-6545-C1C2C0F6D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14</xdr:row>
      <xdr:rowOff>163830</xdr:rowOff>
    </xdr:from>
    <xdr:to>
      <xdr:col>10</xdr:col>
      <xdr:colOff>175260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A9B25-960F-FC58-C5FC-E983DB96E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227907</xdr:colOff>
      <xdr:row>25</xdr:row>
      <xdr:rowOff>106334</xdr:rowOff>
    </xdr:from>
    <xdr:to>
      <xdr:col>8</xdr:col>
      <xdr:colOff>563187</xdr:colOff>
      <xdr:row>43</xdr:row>
      <xdr:rowOff>102524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2565F-D297-881B-D2D7-21649A360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14006D-C5F0-4B03-A9BE-941C9EE27A31}" autoFormatId="16" applyNumberFormats="0" applyBorderFormats="0" applyFontFormats="0" applyPatternFormats="0" applyAlignmentFormats="0" applyWidthHeightFormats="0">
  <queryTableRefresh nextId="10">
    <queryTableFields count="9">
      <queryTableField id="2" name="Ime" tableColumnId="1"/>
      <queryTableField id="1" dataBound="0" tableColumnId="2"/>
      <queryTableField id="3" name="K1" tableColumnId="3"/>
      <queryTableField id="4" name="K2" tableColumnId="4"/>
      <queryTableField id="5" name="K3" tableColumnId="5"/>
      <queryTableField id="6" name="DN" tableColumnId="6"/>
      <queryTableField id="7" name="udeležba" tableColumnId="7"/>
      <queryTableField id="8" name="skupaj" tableColumnId="8"/>
      <queryTableField id="9" name="ocena" tableColumnId="9"/>
    </queryTableFields>
    <queryTableDeletedFields count="1">
      <deletedField name="Priimek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87268-04AD-4A7D-99C0-BC4D9F98B67B}" name="Table1" displayName="Table1" ref="A1:C37" totalsRowShown="0">
  <autoFilter ref="A1:C37" xr:uid="{0A287268-04AD-4A7D-99C0-BC4D9F98B67B}"/>
  <tableColumns count="3">
    <tableColumn id="1" xr3:uid="{4563A72D-AAEA-42AD-9154-FA453ED44431}" name="Leto"/>
    <tableColumn id="2" xr3:uid="{59941526-8DD4-40D1-9E0C-326BE6E25768}" name=" Stanje">
      <calculatedColumnFormula>SUM(B1+B1*0.0475)</calculatedColumnFormula>
    </tableColumn>
    <tableColumn id="3" xr3:uid="{22C2E915-B1E1-4EEB-AC72-203844BD004F}" name="stanje" dataDxfId="17">
      <calculatedColumnFormula>ROUND(B2, 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FF272D-9D54-437E-811C-9E63EB71EB35}" name="kolokviji__2" displayName="kolokviji__2" ref="A1:I32" tableType="queryTable" totalsRowCount="1">
  <autoFilter ref="A1:I31" xr:uid="{A3FF272D-9D54-437E-811C-9E63EB71EB35}"/>
  <sortState xmlns:xlrd2="http://schemas.microsoft.com/office/spreadsheetml/2017/richdata2" ref="A2:I31">
    <sortCondition ref="B2:B31"/>
    <sortCondition ref="A2:A31"/>
  </sortState>
  <tableColumns count="9">
    <tableColumn id="1" xr3:uid="{C1F4327E-8CED-44A0-B7F6-BB86BDA5DB74}" uniqueName="1" name="Ime" totalsRowLabel="Povprečje" queryTableFieldId="2" dataDxfId="16" totalsRowDxfId="15"/>
    <tableColumn id="2" xr3:uid="{527CE77A-5AB1-474F-A883-7A2EFDC3F5B9}" uniqueName="2" name="Priimek" queryTableFieldId="1" dataDxfId="14" totalsRowDxfId="13"/>
    <tableColumn id="3" xr3:uid="{729928CC-A2D3-4854-BE3C-872DF10A00C3}" uniqueName="3" name="K1" totalsRowFunction="average" queryTableFieldId="3" totalsRowDxfId="12"/>
    <tableColumn id="4" xr3:uid="{43499964-5259-4589-BA13-4B3C080860D2}" uniqueName="4" name="K2" totalsRowFunction="average" queryTableFieldId="4" totalsRowDxfId="11"/>
    <tableColumn id="5" xr3:uid="{3E6626DB-C594-402B-8B8A-14D0A33E332E}" uniqueName="5" name="K3" totalsRowFunction="average" queryTableFieldId="5" totalsRowDxfId="10"/>
    <tableColumn id="6" xr3:uid="{EEBF3EE1-5C07-4037-9A25-0CA2B1275EAA}" uniqueName="6" name="DN" totalsRowFunction="average" queryTableFieldId="6" totalsRowDxfId="9"/>
    <tableColumn id="7" xr3:uid="{B77444BE-7D2C-4E8E-8A69-E621AB47FDA2}" uniqueName="7" name="udeležba" totalsRowFunction="average" queryTableFieldId="7" totalsRowDxfId="8"/>
    <tableColumn id="8" xr3:uid="{1DCE2C4D-17DA-4444-BDF9-F8A825893A23}" uniqueName="8" name="skupaj" totalsRowFunction="average" queryTableFieldId="8" dataDxfId="7" totalsRowDxfId="6"/>
    <tableColumn id="9" xr3:uid="{253CCD40-92DA-4754-A710-BA9D5E544B65}" uniqueName="9" name="ocena" totalsRowFunction="average" queryTableFieldId="9" dataDxfId="5" totalsRow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86EB-1C82-4DD7-A51D-3A9B13D723DD}">
  <dimension ref="A1:C37"/>
  <sheetViews>
    <sheetView zoomScale="158" workbookViewId="0">
      <selection activeCell="E9" sqref="E9"/>
    </sheetView>
  </sheetViews>
  <sheetFormatPr defaultRowHeight="14.4" x14ac:dyDescent="0.3"/>
  <cols>
    <col min="1" max="1" width="10.5546875" customWidth="1"/>
    <col min="2" max="2" width="12.44140625" hidden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1972</v>
      </c>
      <c r="B2">
        <v>123.43</v>
      </c>
      <c r="C2" s="1">
        <f>ROUND(B2, 1)</f>
        <v>123.4</v>
      </c>
    </row>
    <row r="3" spans="1:3" x14ac:dyDescent="0.3">
      <c r="A3">
        <v>1973</v>
      </c>
      <c r="B3">
        <f>SUM(B2+B2*0.0475)</f>
        <v>129.292925</v>
      </c>
      <c r="C3" s="1">
        <f t="shared" ref="C3:C37" si="0">ROUND(B3, 1)</f>
        <v>129.30000000000001</v>
      </c>
    </row>
    <row r="4" spans="1:3" x14ac:dyDescent="0.3">
      <c r="A4">
        <v>1974</v>
      </c>
      <c r="B4">
        <f t="shared" ref="B4:B37" si="1">SUM(B3+B3*0.0475)</f>
        <v>135.4343389375</v>
      </c>
      <c r="C4" s="1">
        <f t="shared" si="0"/>
        <v>135.4</v>
      </c>
    </row>
    <row r="5" spans="1:3" x14ac:dyDescent="0.3">
      <c r="A5">
        <v>1975</v>
      </c>
      <c r="B5">
        <f t="shared" si="1"/>
        <v>141.86747003703124</v>
      </c>
      <c r="C5" s="1">
        <f t="shared" si="0"/>
        <v>141.9</v>
      </c>
    </row>
    <row r="6" spans="1:3" x14ac:dyDescent="0.3">
      <c r="A6">
        <v>1976</v>
      </c>
      <c r="B6">
        <f t="shared" si="1"/>
        <v>148.60617486379022</v>
      </c>
      <c r="C6" s="1">
        <f t="shared" si="0"/>
        <v>148.6</v>
      </c>
    </row>
    <row r="7" spans="1:3" x14ac:dyDescent="0.3">
      <c r="A7">
        <v>1977</v>
      </c>
      <c r="B7">
        <f t="shared" si="1"/>
        <v>155.66496816982024</v>
      </c>
      <c r="C7" s="1">
        <f t="shared" si="0"/>
        <v>155.69999999999999</v>
      </c>
    </row>
    <row r="8" spans="1:3" x14ac:dyDescent="0.3">
      <c r="A8">
        <v>1978</v>
      </c>
      <c r="B8">
        <f t="shared" si="1"/>
        <v>163.05905415788669</v>
      </c>
      <c r="C8" s="1">
        <f t="shared" si="0"/>
        <v>163.1</v>
      </c>
    </row>
    <row r="9" spans="1:3" x14ac:dyDescent="0.3">
      <c r="A9">
        <v>1979</v>
      </c>
      <c r="B9">
        <f t="shared" si="1"/>
        <v>170.8043592303863</v>
      </c>
      <c r="C9" s="1">
        <f t="shared" si="0"/>
        <v>170.8</v>
      </c>
    </row>
    <row r="10" spans="1:3" x14ac:dyDescent="0.3">
      <c r="A10">
        <v>1980</v>
      </c>
      <c r="B10">
        <f t="shared" si="1"/>
        <v>178.91756629382965</v>
      </c>
      <c r="C10" s="1">
        <f t="shared" si="0"/>
        <v>178.9</v>
      </c>
    </row>
    <row r="11" spans="1:3" x14ac:dyDescent="0.3">
      <c r="A11">
        <v>1981</v>
      </c>
      <c r="B11">
        <f t="shared" si="1"/>
        <v>187.41615069278657</v>
      </c>
      <c r="C11" s="1">
        <f t="shared" si="0"/>
        <v>187.4</v>
      </c>
    </row>
    <row r="12" spans="1:3" x14ac:dyDescent="0.3">
      <c r="A12">
        <v>1982</v>
      </c>
      <c r="B12">
        <f t="shared" si="1"/>
        <v>196.31841785069395</v>
      </c>
      <c r="C12" s="1">
        <f t="shared" si="0"/>
        <v>196.3</v>
      </c>
    </row>
    <row r="13" spans="1:3" x14ac:dyDescent="0.3">
      <c r="A13">
        <v>1983</v>
      </c>
      <c r="B13">
        <f t="shared" si="1"/>
        <v>205.64354269860192</v>
      </c>
      <c r="C13" s="1">
        <f t="shared" si="0"/>
        <v>205.6</v>
      </c>
    </row>
    <row r="14" spans="1:3" x14ac:dyDescent="0.3">
      <c r="A14">
        <v>1984</v>
      </c>
      <c r="B14">
        <f t="shared" si="1"/>
        <v>215.41161097678551</v>
      </c>
      <c r="C14" s="1">
        <f t="shared" si="0"/>
        <v>215.4</v>
      </c>
    </row>
    <row r="15" spans="1:3" x14ac:dyDescent="0.3">
      <c r="A15">
        <v>1985</v>
      </c>
      <c r="B15">
        <f t="shared" si="1"/>
        <v>225.64366249818283</v>
      </c>
      <c r="C15" s="1">
        <f t="shared" si="0"/>
        <v>225.6</v>
      </c>
    </row>
    <row r="16" spans="1:3" x14ac:dyDescent="0.3">
      <c r="A16">
        <v>1986</v>
      </c>
      <c r="B16">
        <f t="shared" si="1"/>
        <v>236.36173646684651</v>
      </c>
      <c r="C16" s="1">
        <f t="shared" si="0"/>
        <v>236.4</v>
      </c>
    </row>
    <row r="17" spans="1:3" x14ac:dyDescent="0.3">
      <c r="A17">
        <v>1987</v>
      </c>
      <c r="B17">
        <f t="shared" si="1"/>
        <v>247.58891894902172</v>
      </c>
      <c r="C17" s="1">
        <f t="shared" si="0"/>
        <v>247.6</v>
      </c>
    </row>
    <row r="18" spans="1:3" x14ac:dyDescent="0.3">
      <c r="A18">
        <v>1988</v>
      </c>
      <c r="B18">
        <f t="shared" si="1"/>
        <v>259.34939259910027</v>
      </c>
      <c r="C18" s="1">
        <f t="shared" si="0"/>
        <v>259.3</v>
      </c>
    </row>
    <row r="19" spans="1:3" x14ac:dyDescent="0.3">
      <c r="A19">
        <v>1989</v>
      </c>
      <c r="B19">
        <f t="shared" si="1"/>
        <v>271.66848874755755</v>
      </c>
      <c r="C19" s="1">
        <f t="shared" si="0"/>
        <v>271.7</v>
      </c>
    </row>
    <row r="20" spans="1:3" x14ac:dyDescent="0.3">
      <c r="A20">
        <v>1990</v>
      </c>
      <c r="B20">
        <f t="shared" si="1"/>
        <v>284.57274196306651</v>
      </c>
      <c r="C20" s="1">
        <f t="shared" si="0"/>
        <v>284.60000000000002</v>
      </c>
    </row>
    <row r="21" spans="1:3" x14ac:dyDescent="0.3">
      <c r="A21">
        <v>1991</v>
      </c>
      <c r="B21">
        <f t="shared" si="1"/>
        <v>298.08994720631216</v>
      </c>
      <c r="C21" s="1">
        <f t="shared" si="0"/>
        <v>298.10000000000002</v>
      </c>
    </row>
    <row r="22" spans="1:3" x14ac:dyDescent="0.3">
      <c r="A22">
        <v>1992</v>
      </c>
      <c r="B22">
        <f t="shared" si="1"/>
        <v>312.24921969861197</v>
      </c>
      <c r="C22" s="1">
        <f t="shared" si="0"/>
        <v>312.2</v>
      </c>
    </row>
    <row r="23" spans="1:3" x14ac:dyDescent="0.3">
      <c r="A23">
        <v>1993</v>
      </c>
      <c r="B23">
        <f t="shared" si="1"/>
        <v>327.08105763429603</v>
      </c>
      <c r="C23" s="1">
        <f t="shared" si="0"/>
        <v>327.10000000000002</v>
      </c>
    </row>
    <row r="24" spans="1:3" x14ac:dyDescent="0.3">
      <c r="A24">
        <v>1994</v>
      </c>
      <c r="B24">
        <f t="shared" si="1"/>
        <v>342.61740787192508</v>
      </c>
      <c r="C24" s="1">
        <f t="shared" si="0"/>
        <v>342.6</v>
      </c>
    </row>
    <row r="25" spans="1:3" x14ac:dyDescent="0.3">
      <c r="A25">
        <v>1995</v>
      </c>
      <c r="B25">
        <f t="shared" si="1"/>
        <v>358.89173474584152</v>
      </c>
      <c r="C25" s="1">
        <f t="shared" si="0"/>
        <v>358.9</v>
      </c>
    </row>
    <row r="26" spans="1:3" x14ac:dyDescent="0.3">
      <c r="A26">
        <v>1996</v>
      </c>
      <c r="B26">
        <f>SUM(B25+B25*0.0475)</f>
        <v>375.93909214626899</v>
      </c>
      <c r="C26" s="1">
        <f t="shared" si="0"/>
        <v>375.9</v>
      </c>
    </row>
    <row r="27" spans="1:3" x14ac:dyDescent="0.3">
      <c r="A27">
        <v>1997</v>
      </c>
      <c r="B27">
        <f t="shared" si="1"/>
        <v>393.79619902321679</v>
      </c>
      <c r="C27" s="1">
        <f t="shared" si="0"/>
        <v>393.8</v>
      </c>
    </row>
    <row r="28" spans="1:3" x14ac:dyDescent="0.3">
      <c r="A28">
        <v>1998</v>
      </c>
      <c r="B28">
        <f t="shared" si="1"/>
        <v>412.50151847681957</v>
      </c>
      <c r="C28" s="1">
        <f t="shared" si="0"/>
        <v>412.5</v>
      </c>
    </row>
    <row r="29" spans="1:3" x14ac:dyDescent="0.3">
      <c r="A29">
        <v>1999</v>
      </c>
      <c r="B29">
        <f t="shared" si="1"/>
        <v>432.0953406044685</v>
      </c>
      <c r="C29" s="1">
        <f t="shared" si="0"/>
        <v>432.1</v>
      </c>
    </row>
    <row r="30" spans="1:3" x14ac:dyDescent="0.3">
      <c r="A30">
        <v>2000</v>
      </c>
      <c r="B30">
        <f t="shared" si="1"/>
        <v>452.61986928318078</v>
      </c>
      <c r="C30" s="1">
        <f t="shared" si="0"/>
        <v>452.6</v>
      </c>
    </row>
    <row r="31" spans="1:3" x14ac:dyDescent="0.3">
      <c r="A31">
        <v>2001</v>
      </c>
      <c r="B31">
        <f t="shared" si="1"/>
        <v>474.11931307413187</v>
      </c>
      <c r="C31" s="1">
        <f t="shared" si="0"/>
        <v>474.1</v>
      </c>
    </row>
    <row r="32" spans="1:3" x14ac:dyDescent="0.3">
      <c r="A32">
        <v>2002</v>
      </c>
      <c r="B32">
        <f t="shared" si="1"/>
        <v>496.63998044515313</v>
      </c>
      <c r="C32" s="1">
        <f t="shared" si="0"/>
        <v>496.6</v>
      </c>
    </row>
    <row r="33" spans="1:3" x14ac:dyDescent="0.3">
      <c r="A33">
        <v>2003</v>
      </c>
      <c r="B33">
        <f t="shared" si="1"/>
        <v>520.23037951629794</v>
      </c>
      <c r="C33" s="1">
        <f t="shared" si="0"/>
        <v>520.20000000000005</v>
      </c>
    </row>
    <row r="34" spans="1:3" x14ac:dyDescent="0.3">
      <c r="A34">
        <v>2004</v>
      </c>
      <c r="B34">
        <f t="shared" si="1"/>
        <v>544.94132254332214</v>
      </c>
      <c r="C34" s="1">
        <f t="shared" si="0"/>
        <v>544.9</v>
      </c>
    </row>
    <row r="35" spans="1:3" x14ac:dyDescent="0.3">
      <c r="A35">
        <v>2005</v>
      </c>
      <c r="B35">
        <f t="shared" si="1"/>
        <v>570.82603536412989</v>
      </c>
      <c r="C35" s="1">
        <f t="shared" si="0"/>
        <v>570.79999999999995</v>
      </c>
    </row>
    <row r="36" spans="1:3" x14ac:dyDescent="0.3">
      <c r="A36">
        <v>2006</v>
      </c>
      <c r="B36">
        <f t="shared" si="1"/>
        <v>597.94027204392603</v>
      </c>
      <c r="C36" s="1">
        <f t="shared" si="0"/>
        <v>597.9</v>
      </c>
    </row>
    <row r="37" spans="1:3" x14ac:dyDescent="0.3">
      <c r="A37">
        <v>2007</v>
      </c>
      <c r="B37">
        <f t="shared" si="1"/>
        <v>626.34243496601255</v>
      </c>
      <c r="C37" s="1">
        <f t="shared" si="0"/>
        <v>626.29999999999995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858C-F742-4C94-8A38-70D14A529D49}">
  <dimension ref="A1:C10"/>
  <sheetViews>
    <sheetView zoomScale="159" workbookViewId="0">
      <selection activeCell="C11" sqref="C11"/>
    </sheetView>
  </sheetViews>
  <sheetFormatPr defaultRowHeight="14.4" x14ac:dyDescent="0.3"/>
  <cols>
    <col min="1" max="1" width="18.44140625" customWidth="1"/>
    <col min="2" max="2" width="27.77734375" bestFit="1" customWidth="1"/>
  </cols>
  <sheetData>
    <row r="1" spans="1:3" ht="15" thickBot="1" x14ac:dyDescent="0.35">
      <c r="A1" s="68" t="s">
        <v>3</v>
      </c>
      <c r="B1" s="68"/>
    </row>
    <row r="2" spans="1:3" ht="15.6" thickTop="1" thickBot="1" x14ac:dyDescent="0.35">
      <c r="A2" s="9" t="s">
        <v>4</v>
      </c>
      <c r="B2" s="10">
        <v>45654</v>
      </c>
    </row>
    <row r="3" spans="1:3" ht="15.6" thickTop="1" thickBot="1" x14ac:dyDescent="0.35">
      <c r="A3" s="9" t="s">
        <v>5</v>
      </c>
      <c r="B3" s="11">
        <v>4.1500000000000004</v>
      </c>
    </row>
    <row r="4" spans="1:3" ht="15.6" thickTop="1" thickBot="1" x14ac:dyDescent="0.35">
      <c r="A4" s="9" t="s">
        <v>6</v>
      </c>
      <c r="B4" s="11">
        <v>3.3</v>
      </c>
    </row>
    <row r="5" spans="1:3" ht="15.6" thickTop="1" thickBot="1" x14ac:dyDescent="0.35">
      <c r="A5" s="9" t="s">
        <v>7</v>
      </c>
      <c r="B5" s="11">
        <v>2.65</v>
      </c>
    </row>
    <row r="6" spans="1:3" ht="15.6" thickTop="1" thickBot="1" x14ac:dyDescent="0.35">
      <c r="A6" s="9" t="s">
        <v>11</v>
      </c>
      <c r="B6" s="12">
        <v>0.5</v>
      </c>
      <c r="C6" s="1"/>
    </row>
    <row r="7" spans="1:3" ht="15.6" thickTop="1" thickBot="1" x14ac:dyDescent="0.35">
      <c r="A7" s="9" t="s">
        <v>8</v>
      </c>
      <c r="B7" s="13">
        <v>1.1000000000000001</v>
      </c>
    </row>
    <row r="8" spans="1:3" ht="15.6" thickTop="1" thickBot="1" x14ac:dyDescent="0.35">
      <c r="A8" s="9" t="s">
        <v>9</v>
      </c>
      <c r="B8" s="14">
        <f>SUM((B3*B4)+2*(B3*B5)+2*(B4*B5))</f>
        <v>53.179999999999993</v>
      </c>
    </row>
    <row r="9" spans="1:3" ht="15.6" thickTop="1" thickBot="1" x14ac:dyDescent="0.35">
      <c r="A9" s="9" t="s">
        <v>10</v>
      </c>
      <c r="B9" s="15">
        <f>B8*B6*B7</f>
        <v>29.248999999999999</v>
      </c>
    </row>
    <row r="10" spans="1:3" ht="15" thickTop="1" x14ac:dyDescent="0.3"/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EE5D-91E1-4350-8AE6-4F98970D980A}">
  <dimension ref="B2:L12"/>
  <sheetViews>
    <sheetView zoomScale="120" zoomScaleNormal="100" workbookViewId="0">
      <selection activeCell="C12" sqref="C12"/>
    </sheetView>
  </sheetViews>
  <sheetFormatPr defaultRowHeight="14.4" x14ac:dyDescent="0.3"/>
  <cols>
    <col min="2" max="2" width="10" bestFit="1" customWidth="1"/>
    <col min="3" max="12" width="9" bestFit="1" customWidth="1"/>
  </cols>
  <sheetData>
    <row r="2" spans="2:12" x14ac:dyDescent="0.3">
      <c r="B2" s="16">
        <v>0</v>
      </c>
      <c r="C2" s="16">
        <f>B2+1</f>
        <v>1</v>
      </c>
      <c r="D2" s="17">
        <f t="shared" ref="D2:K2" si="0">C2+1</f>
        <v>2</v>
      </c>
      <c r="E2" s="18">
        <f t="shared" si="0"/>
        <v>3</v>
      </c>
      <c r="F2" s="18">
        <f t="shared" si="0"/>
        <v>4</v>
      </c>
      <c r="G2" s="18">
        <f t="shared" si="0"/>
        <v>5</v>
      </c>
      <c r="H2" s="18">
        <f t="shared" si="0"/>
        <v>6</v>
      </c>
      <c r="I2" s="18">
        <f t="shared" si="0"/>
        <v>7</v>
      </c>
      <c r="J2" s="18">
        <f t="shared" si="0"/>
        <v>8</v>
      </c>
      <c r="K2" s="18">
        <f t="shared" si="0"/>
        <v>9</v>
      </c>
      <c r="L2" s="18">
        <f>K2+1</f>
        <v>10</v>
      </c>
    </row>
    <row r="3" spans="2:12" x14ac:dyDescent="0.3">
      <c r="B3" s="16">
        <f>B2+1</f>
        <v>1</v>
      </c>
      <c r="C3" s="16">
        <f t="shared" ref="C3:L12" si="1">C$2*$B3</f>
        <v>1</v>
      </c>
      <c r="D3" s="17">
        <f t="shared" si="1"/>
        <v>2</v>
      </c>
      <c r="E3" s="18">
        <f t="shared" si="1"/>
        <v>3</v>
      </c>
      <c r="F3" s="18">
        <f t="shared" si="1"/>
        <v>4</v>
      </c>
      <c r="G3" s="18">
        <f t="shared" si="1"/>
        <v>5</v>
      </c>
      <c r="H3" s="18">
        <f t="shared" si="1"/>
        <v>6</v>
      </c>
      <c r="I3" s="18">
        <f t="shared" si="1"/>
        <v>7</v>
      </c>
      <c r="J3" s="18">
        <f t="shared" si="1"/>
        <v>8</v>
      </c>
      <c r="K3" s="18">
        <f t="shared" si="1"/>
        <v>9</v>
      </c>
      <c r="L3" s="18">
        <f t="shared" si="1"/>
        <v>10</v>
      </c>
    </row>
    <row r="4" spans="2:12" x14ac:dyDescent="0.3">
      <c r="B4" s="16">
        <f t="shared" ref="B4:B12" si="2">B3+1</f>
        <v>2</v>
      </c>
      <c r="C4" s="16">
        <f t="shared" si="1"/>
        <v>2</v>
      </c>
      <c r="D4" s="17">
        <f t="shared" si="1"/>
        <v>4</v>
      </c>
      <c r="E4" s="18">
        <f t="shared" si="1"/>
        <v>6</v>
      </c>
      <c r="F4" s="18">
        <f t="shared" si="1"/>
        <v>8</v>
      </c>
      <c r="G4" s="18">
        <f t="shared" si="1"/>
        <v>10</v>
      </c>
      <c r="H4" s="18">
        <f t="shared" si="1"/>
        <v>12</v>
      </c>
      <c r="I4" s="18">
        <f t="shared" si="1"/>
        <v>14</v>
      </c>
      <c r="J4" s="18">
        <f t="shared" si="1"/>
        <v>16</v>
      </c>
      <c r="K4" s="18">
        <f t="shared" si="1"/>
        <v>18</v>
      </c>
      <c r="L4" s="18">
        <f t="shared" si="1"/>
        <v>20</v>
      </c>
    </row>
    <row r="5" spans="2:12" x14ac:dyDescent="0.3">
      <c r="B5" s="16">
        <f t="shared" si="2"/>
        <v>3</v>
      </c>
      <c r="C5" s="16">
        <f t="shared" si="1"/>
        <v>3</v>
      </c>
      <c r="D5" s="17">
        <f t="shared" si="1"/>
        <v>6</v>
      </c>
      <c r="E5" s="18">
        <f t="shared" si="1"/>
        <v>9</v>
      </c>
      <c r="F5" s="18">
        <f t="shared" si="1"/>
        <v>12</v>
      </c>
      <c r="G5" s="18">
        <f t="shared" si="1"/>
        <v>15</v>
      </c>
      <c r="H5" s="18">
        <f t="shared" si="1"/>
        <v>18</v>
      </c>
      <c r="I5" s="18">
        <f t="shared" si="1"/>
        <v>21</v>
      </c>
      <c r="J5" s="18">
        <f t="shared" si="1"/>
        <v>24</v>
      </c>
      <c r="K5" s="18">
        <f t="shared" si="1"/>
        <v>27</v>
      </c>
      <c r="L5" s="18">
        <f t="shared" si="1"/>
        <v>30</v>
      </c>
    </row>
    <row r="6" spans="2:12" x14ac:dyDescent="0.3">
      <c r="B6" s="16">
        <f t="shared" si="2"/>
        <v>4</v>
      </c>
      <c r="C6" s="16">
        <f t="shared" si="1"/>
        <v>4</v>
      </c>
      <c r="D6" s="17">
        <f t="shared" si="1"/>
        <v>8</v>
      </c>
      <c r="E6" s="18">
        <f t="shared" si="1"/>
        <v>12</v>
      </c>
      <c r="F6" s="18">
        <f t="shared" si="1"/>
        <v>16</v>
      </c>
      <c r="G6" s="18">
        <f t="shared" si="1"/>
        <v>20</v>
      </c>
      <c r="H6" s="18">
        <f t="shared" si="1"/>
        <v>24</v>
      </c>
      <c r="I6" s="18">
        <f t="shared" si="1"/>
        <v>28</v>
      </c>
      <c r="J6" s="18">
        <f t="shared" si="1"/>
        <v>32</v>
      </c>
      <c r="K6" s="18">
        <f t="shared" si="1"/>
        <v>36</v>
      </c>
      <c r="L6" s="18">
        <f t="shared" si="1"/>
        <v>40</v>
      </c>
    </row>
    <row r="7" spans="2:12" x14ac:dyDescent="0.3">
      <c r="B7" s="16">
        <f t="shared" si="2"/>
        <v>5</v>
      </c>
      <c r="C7" s="16">
        <f t="shared" si="1"/>
        <v>5</v>
      </c>
      <c r="D7" s="17">
        <f t="shared" si="1"/>
        <v>10</v>
      </c>
      <c r="E7" s="18">
        <f t="shared" si="1"/>
        <v>15</v>
      </c>
      <c r="F7" s="18">
        <f t="shared" si="1"/>
        <v>20</v>
      </c>
      <c r="G7" s="18">
        <f t="shared" si="1"/>
        <v>25</v>
      </c>
      <c r="H7" s="18">
        <f t="shared" si="1"/>
        <v>30</v>
      </c>
      <c r="I7" s="18">
        <f t="shared" si="1"/>
        <v>35</v>
      </c>
      <c r="J7" s="18">
        <f t="shared" si="1"/>
        <v>40</v>
      </c>
      <c r="K7" s="18">
        <f t="shared" si="1"/>
        <v>45</v>
      </c>
      <c r="L7" s="18">
        <f t="shared" si="1"/>
        <v>50</v>
      </c>
    </row>
    <row r="8" spans="2:12" x14ac:dyDescent="0.3">
      <c r="B8" s="16">
        <f t="shared" si="2"/>
        <v>6</v>
      </c>
      <c r="C8" s="16">
        <f t="shared" si="1"/>
        <v>6</v>
      </c>
      <c r="D8" s="17">
        <f t="shared" si="1"/>
        <v>12</v>
      </c>
      <c r="E8" s="18">
        <f t="shared" si="1"/>
        <v>18</v>
      </c>
      <c r="F8" s="18">
        <f t="shared" si="1"/>
        <v>24</v>
      </c>
      <c r="G8" s="18">
        <f t="shared" si="1"/>
        <v>30</v>
      </c>
      <c r="H8" s="18">
        <f t="shared" si="1"/>
        <v>36</v>
      </c>
      <c r="I8" s="18">
        <f t="shared" si="1"/>
        <v>42</v>
      </c>
      <c r="J8" s="18">
        <f t="shared" si="1"/>
        <v>48</v>
      </c>
      <c r="K8" s="18">
        <f t="shared" si="1"/>
        <v>54</v>
      </c>
      <c r="L8" s="18">
        <f t="shared" si="1"/>
        <v>60</v>
      </c>
    </row>
    <row r="9" spans="2:12" x14ac:dyDescent="0.3">
      <c r="B9" s="16">
        <f t="shared" si="2"/>
        <v>7</v>
      </c>
      <c r="C9" s="16">
        <f t="shared" si="1"/>
        <v>7</v>
      </c>
      <c r="D9" s="17">
        <f t="shared" si="1"/>
        <v>14</v>
      </c>
      <c r="E9" s="18">
        <f t="shared" si="1"/>
        <v>21</v>
      </c>
      <c r="F9" s="18">
        <f t="shared" si="1"/>
        <v>28</v>
      </c>
      <c r="G9" s="18">
        <f t="shared" si="1"/>
        <v>35</v>
      </c>
      <c r="H9" s="18">
        <f t="shared" si="1"/>
        <v>42</v>
      </c>
      <c r="I9" s="18">
        <f t="shared" si="1"/>
        <v>49</v>
      </c>
      <c r="J9" s="18">
        <f t="shared" si="1"/>
        <v>56</v>
      </c>
      <c r="K9" s="18">
        <f t="shared" si="1"/>
        <v>63</v>
      </c>
      <c r="L9" s="18">
        <f t="shared" si="1"/>
        <v>70</v>
      </c>
    </row>
    <row r="10" spans="2:12" x14ac:dyDescent="0.3">
      <c r="B10" s="16">
        <f t="shared" si="2"/>
        <v>8</v>
      </c>
      <c r="C10" s="16">
        <f t="shared" si="1"/>
        <v>8</v>
      </c>
      <c r="D10" s="17">
        <f t="shared" si="1"/>
        <v>16</v>
      </c>
      <c r="E10" s="18">
        <f t="shared" si="1"/>
        <v>24</v>
      </c>
      <c r="F10" s="18">
        <f t="shared" si="1"/>
        <v>32</v>
      </c>
      <c r="G10" s="18">
        <f t="shared" si="1"/>
        <v>40</v>
      </c>
      <c r="H10" s="18">
        <f t="shared" si="1"/>
        <v>48</v>
      </c>
      <c r="I10" s="18">
        <f t="shared" si="1"/>
        <v>56</v>
      </c>
      <c r="J10" s="18">
        <f t="shared" si="1"/>
        <v>64</v>
      </c>
      <c r="K10" s="18">
        <f t="shared" si="1"/>
        <v>72</v>
      </c>
      <c r="L10" s="18">
        <f t="shared" si="1"/>
        <v>80</v>
      </c>
    </row>
    <row r="11" spans="2:12" x14ac:dyDescent="0.3">
      <c r="B11" s="16">
        <f t="shared" si="2"/>
        <v>9</v>
      </c>
      <c r="C11" s="16">
        <f t="shared" si="1"/>
        <v>9</v>
      </c>
      <c r="D11" s="17">
        <f t="shared" si="1"/>
        <v>18</v>
      </c>
      <c r="E11" s="18">
        <f t="shared" si="1"/>
        <v>27</v>
      </c>
      <c r="F11" s="18">
        <f t="shared" si="1"/>
        <v>36</v>
      </c>
      <c r="G11" s="18">
        <f t="shared" si="1"/>
        <v>45</v>
      </c>
      <c r="H11" s="18">
        <f t="shared" si="1"/>
        <v>54</v>
      </c>
      <c r="I11" s="18">
        <f t="shared" si="1"/>
        <v>63</v>
      </c>
      <c r="J11" s="18">
        <f t="shared" si="1"/>
        <v>72</v>
      </c>
      <c r="K11" s="18">
        <f t="shared" si="1"/>
        <v>81</v>
      </c>
      <c r="L11" s="18">
        <f t="shared" si="1"/>
        <v>90</v>
      </c>
    </row>
    <row r="12" spans="2:12" x14ac:dyDescent="0.3">
      <c r="B12" s="16">
        <f t="shared" si="2"/>
        <v>10</v>
      </c>
      <c r="C12" s="16">
        <f t="shared" si="1"/>
        <v>10</v>
      </c>
      <c r="D12" s="17">
        <f t="shared" si="1"/>
        <v>20</v>
      </c>
      <c r="E12" s="18">
        <f t="shared" si="1"/>
        <v>30</v>
      </c>
      <c r="F12" s="18">
        <f t="shared" si="1"/>
        <v>40</v>
      </c>
      <c r="G12" s="18">
        <f t="shared" si="1"/>
        <v>50</v>
      </c>
      <c r="H12" s="18">
        <f t="shared" si="1"/>
        <v>60</v>
      </c>
      <c r="I12" s="18">
        <f t="shared" si="1"/>
        <v>70</v>
      </c>
      <c r="J12" s="18">
        <f t="shared" si="1"/>
        <v>80</v>
      </c>
      <c r="K12" s="18">
        <f t="shared" si="1"/>
        <v>90</v>
      </c>
      <c r="L12" s="18">
        <f t="shared" si="1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901-F954-4B7A-90DE-55C59D4A6671}">
  <dimension ref="B2:T18"/>
  <sheetViews>
    <sheetView zoomScale="105" zoomScaleNormal="85" workbookViewId="0">
      <selection activeCell="F4" sqref="F4"/>
    </sheetView>
  </sheetViews>
  <sheetFormatPr defaultRowHeight="14.4" x14ac:dyDescent="0.3"/>
  <cols>
    <col min="3" max="5" width="9" bestFit="1" customWidth="1"/>
    <col min="6" max="7" width="9.88671875" bestFit="1" customWidth="1"/>
    <col min="8" max="8" width="9" bestFit="1" customWidth="1"/>
  </cols>
  <sheetData>
    <row r="2" spans="2:20" x14ac:dyDescent="0.3">
      <c r="B2" s="2" t="s">
        <v>12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</row>
    <row r="3" spans="2:20" x14ac:dyDescent="0.3">
      <c r="B3" s="2" t="s">
        <v>13</v>
      </c>
      <c r="C3" s="2">
        <v>120</v>
      </c>
      <c r="D3" s="2">
        <v>45</v>
      </c>
      <c r="E3" s="2">
        <v>60</v>
      </c>
      <c r="F3" s="2">
        <v>210</v>
      </c>
      <c r="G3" s="2">
        <v>160</v>
      </c>
      <c r="H3" s="2">
        <v>35</v>
      </c>
    </row>
    <row r="4" spans="2:20" x14ac:dyDescent="0.3">
      <c r="B4" s="2" t="s">
        <v>14</v>
      </c>
      <c r="C4" s="7">
        <f t="shared" ref="C4:H4" si="0">C3/$E$15</f>
        <v>9.6774193548387094E-2</v>
      </c>
      <c r="D4" s="7">
        <f t="shared" si="0"/>
        <v>3.6290322580645164E-2</v>
      </c>
      <c r="E4" s="7">
        <f t="shared" si="0"/>
        <v>4.8387096774193547E-2</v>
      </c>
      <c r="F4" s="7">
        <f t="shared" si="0"/>
        <v>0.16935483870967741</v>
      </c>
      <c r="G4" s="7">
        <f t="shared" si="0"/>
        <v>0.12903225806451613</v>
      </c>
      <c r="H4" s="7">
        <f t="shared" si="0"/>
        <v>2.8225806451612902E-2</v>
      </c>
      <c r="T4" s="4"/>
    </row>
    <row r="8" spans="2:20" x14ac:dyDescent="0.3">
      <c r="J8" s="8">
        <f>AVERAGE(C3:H3,C10:H10)</f>
        <v>103.33333333333333</v>
      </c>
    </row>
    <row r="9" spans="2:20" x14ac:dyDescent="0.3">
      <c r="B9" s="2" t="s">
        <v>12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</row>
    <row r="10" spans="2:20" x14ac:dyDescent="0.3">
      <c r="B10" s="2" t="s">
        <v>13</v>
      </c>
      <c r="C10" s="5">
        <v>20</v>
      </c>
      <c r="D10" s="5">
        <v>80</v>
      </c>
      <c r="E10" s="5">
        <v>100</v>
      </c>
      <c r="F10" s="5">
        <v>120</v>
      </c>
      <c r="G10" s="5">
        <v>90</v>
      </c>
      <c r="H10" s="5">
        <v>200</v>
      </c>
    </row>
    <row r="11" spans="2:20" x14ac:dyDescent="0.3">
      <c r="B11" s="2" t="s">
        <v>14</v>
      </c>
      <c r="C11" s="6">
        <f t="shared" ref="C11:H11" si="1">C10/$E$15</f>
        <v>1.6129032258064516E-2</v>
      </c>
      <c r="D11" s="6">
        <f t="shared" si="1"/>
        <v>6.4516129032258063E-2</v>
      </c>
      <c r="E11" s="6">
        <f t="shared" si="1"/>
        <v>8.0645161290322578E-2</v>
      </c>
      <c r="F11" s="6">
        <f t="shared" si="1"/>
        <v>9.6774193548387094E-2</v>
      </c>
      <c r="G11" s="6">
        <f t="shared" si="1"/>
        <v>7.2580645161290328E-2</v>
      </c>
      <c r="H11" s="6">
        <f t="shared" si="1"/>
        <v>0.16129032258064516</v>
      </c>
    </row>
    <row r="14" spans="2:20" ht="15" thickBot="1" x14ac:dyDescent="0.35"/>
    <row r="15" spans="2:20" x14ac:dyDescent="0.3">
      <c r="B15" s="69" t="s">
        <v>27</v>
      </c>
      <c r="C15" s="70"/>
      <c r="D15" s="70"/>
      <c r="E15" s="27">
        <f>SUM(C3:H3,C10:H10)</f>
        <v>1240</v>
      </c>
    </row>
    <row r="16" spans="2:20" x14ac:dyDescent="0.3">
      <c r="B16" s="71" t="s">
        <v>28</v>
      </c>
      <c r="C16" s="72"/>
      <c r="D16" s="72"/>
      <c r="E16" s="28">
        <f>MAX(C3:H3,C10:H10)</f>
        <v>210</v>
      </c>
    </row>
    <row r="17" spans="2:5" x14ac:dyDescent="0.3">
      <c r="B17" s="71" t="s">
        <v>29</v>
      </c>
      <c r="C17" s="72"/>
      <c r="D17" s="72"/>
      <c r="E17" s="28">
        <f>MIN(C3:H3,C10:H10)</f>
        <v>20</v>
      </c>
    </row>
    <row r="18" spans="2:5" ht="15" thickBot="1" x14ac:dyDescent="0.35">
      <c r="B18" s="73" t="s">
        <v>30</v>
      </c>
      <c r="C18" s="74"/>
      <c r="D18" s="75"/>
      <c r="E18" s="29">
        <f>ROUND(J8,0)</f>
        <v>103</v>
      </c>
    </row>
  </sheetData>
  <mergeCells count="4">
    <mergeCell ref="B15:D15"/>
    <mergeCell ref="B16:D16"/>
    <mergeCell ref="B17:D17"/>
    <mergeCell ref="B18:D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7D6A-0F16-46FA-9878-3949FFFA3D95}">
  <dimension ref="A1:I32"/>
  <sheetViews>
    <sheetView tabSelected="1" topLeftCell="B1" zoomScale="117" workbookViewId="0">
      <selection activeCell="I3" sqref="I3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6" width="6.77734375" bestFit="1" customWidth="1"/>
    <col min="7" max="7" width="10.88671875" bestFit="1" customWidth="1"/>
    <col min="8" max="8" width="8.88671875" bestFit="1" customWidth="1"/>
    <col min="9" max="9" width="8.44140625" bestFit="1" customWidth="1"/>
  </cols>
  <sheetData>
    <row r="1" spans="1:9" x14ac:dyDescent="0.3">
      <c r="A1" t="s">
        <v>32</v>
      </c>
      <c r="B1" s="31" t="s">
        <v>31</v>
      </c>
      <c r="C1" t="s">
        <v>33</v>
      </c>
      <c r="D1" t="s">
        <v>34</v>
      </c>
      <c r="E1" t="s">
        <v>35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3">
      <c r="A2" t="s">
        <v>96</v>
      </c>
      <c r="B2" s="30" t="s">
        <v>95</v>
      </c>
      <c r="C2">
        <v>35</v>
      </c>
      <c r="D2">
        <v>23</v>
      </c>
      <c r="E2">
        <v>57</v>
      </c>
      <c r="F2">
        <v>50</v>
      </c>
      <c r="G2">
        <v>50</v>
      </c>
      <c r="H2">
        <f>(kolokviji__2[[#This Row],[K1]]+kolokviji__2[[#This Row],[K2]]+kolokviji__2[[#This Row],[K3]])*0.25+0.15*kolokviji__2[[#This Row],[DN]]+0.1*kolokviji__2[[#This Row],[udeležba]]</f>
        <v>41.25</v>
      </c>
      <c r="I2">
        <f>IF(kolokviji__2[[#This Row],[skupaj]]&lt;50, 5, IF(kolokviji__2[[#This Row],[skupaj]]=100, 10, ROUND(kolokviji__2[[#This Row],[skupaj]]/10+1,0)))</f>
        <v>5</v>
      </c>
    </row>
    <row r="3" spans="1:9" x14ac:dyDescent="0.3">
      <c r="A3" t="s">
        <v>89</v>
      </c>
      <c r="B3" s="33" t="s">
        <v>88</v>
      </c>
      <c r="C3">
        <v>38</v>
      </c>
      <c r="D3">
        <v>71</v>
      </c>
      <c r="E3">
        <v>54</v>
      </c>
      <c r="F3">
        <v>74</v>
      </c>
      <c r="G3">
        <v>100</v>
      </c>
      <c r="H3">
        <f>(kolokviji__2[[#This Row],[K1]]+kolokviji__2[[#This Row],[K2]]+kolokviji__2[[#This Row],[K3]])*0.25+0.15*kolokviji__2[[#This Row],[DN]]+0.1*kolokviji__2[[#This Row],[udeležba]]</f>
        <v>61.85</v>
      </c>
      <c r="I3">
        <f>IF(kolokviji__2[[#This Row],[skupaj]]&lt;50, 5, IF(kolokviji__2[[#This Row],[skupaj]]=100, 10, ROUND(kolokviji__2[[#This Row],[skupaj]]/10+1,0)))</f>
        <v>7</v>
      </c>
    </row>
    <row r="4" spans="1:9" x14ac:dyDescent="0.3">
      <c r="A4" t="s">
        <v>61</v>
      </c>
      <c r="B4" s="30" t="s">
        <v>60</v>
      </c>
      <c r="C4">
        <v>39</v>
      </c>
      <c r="D4">
        <v>68</v>
      </c>
      <c r="E4">
        <v>90</v>
      </c>
      <c r="F4">
        <v>56</v>
      </c>
      <c r="G4">
        <v>99</v>
      </c>
      <c r="H4">
        <f>(kolokviji__2[[#This Row],[K1]]+kolokviji__2[[#This Row],[K2]]+kolokviji__2[[#This Row],[K3]])*0.25+0.15*kolokviji__2[[#This Row],[DN]]+0.1*kolokviji__2[[#This Row],[udeležba]]</f>
        <v>67.55</v>
      </c>
      <c r="I4">
        <f>IF(kolokviji__2[[#This Row],[skupaj]]&lt;50, 5, IF(kolokviji__2[[#This Row],[skupaj]]=100, 10, ROUND(kolokviji__2[[#This Row],[skupaj]]/10+1,0)))</f>
        <v>8</v>
      </c>
    </row>
    <row r="5" spans="1:9" x14ac:dyDescent="0.3">
      <c r="A5" t="s">
        <v>98</v>
      </c>
      <c r="B5" s="33" t="s">
        <v>97</v>
      </c>
      <c r="C5">
        <v>58</v>
      </c>
      <c r="D5">
        <v>77</v>
      </c>
      <c r="E5">
        <v>93</v>
      </c>
      <c r="F5">
        <v>90</v>
      </c>
      <c r="G5">
        <v>95</v>
      </c>
      <c r="H5">
        <f>(kolokviji__2[[#This Row],[K1]]+kolokviji__2[[#This Row],[K2]]+kolokviji__2[[#This Row],[K3]])*0.25+0.15*kolokviji__2[[#This Row],[DN]]+0.1*kolokviji__2[[#This Row],[udeležba]]</f>
        <v>80</v>
      </c>
      <c r="I5">
        <f>IF(kolokviji__2[[#This Row],[skupaj]]&lt;50, 5, IF(kolokviji__2[[#This Row],[skupaj]]=100, 10, ROUND(kolokviji__2[[#This Row],[skupaj]]/10+1,0)))</f>
        <v>9</v>
      </c>
    </row>
    <row r="6" spans="1:9" x14ac:dyDescent="0.3">
      <c r="A6" t="s">
        <v>62</v>
      </c>
      <c r="B6" s="30" t="s">
        <v>36</v>
      </c>
      <c r="C6">
        <v>36</v>
      </c>
      <c r="D6">
        <v>78</v>
      </c>
      <c r="E6">
        <v>31</v>
      </c>
      <c r="F6">
        <v>72</v>
      </c>
      <c r="G6">
        <v>56</v>
      </c>
      <c r="H6">
        <f>(kolokviji__2[[#This Row],[K1]]+kolokviji__2[[#This Row],[K2]]+kolokviji__2[[#This Row],[K3]])*0.25+0.15*kolokviji__2[[#This Row],[DN]]+0.1*kolokviji__2[[#This Row],[udeležba]]</f>
        <v>52.65</v>
      </c>
      <c r="I6">
        <f>IF(kolokviji__2[[#This Row],[skupaj]]&lt;50, 5, IF(kolokviji__2[[#This Row],[skupaj]]=100, 10, ROUND(kolokviji__2[[#This Row],[skupaj]]/10+1,0)))</f>
        <v>6</v>
      </c>
    </row>
    <row r="7" spans="1:9" x14ac:dyDescent="0.3">
      <c r="A7" t="s">
        <v>37</v>
      </c>
      <c r="B7" s="33" t="s">
        <v>36</v>
      </c>
      <c r="C7">
        <v>93</v>
      </c>
      <c r="D7">
        <v>39</v>
      </c>
      <c r="E7">
        <v>38</v>
      </c>
      <c r="F7">
        <v>93</v>
      </c>
      <c r="G7">
        <v>79</v>
      </c>
      <c r="H7">
        <f>(kolokviji__2[[#This Row],[K1]]+kolokviji__2[[#This Row],[K2]]+kolokviji__2[[#This Row],[K3]])*0.25+0.15*kolokviji__2[[#This Row],[DN]]+0.1*kolokviji__2[[#This Row],[udeležba]]</f>
        <v>64.350000000000009</v>
      </c>
      <c r="I7">
        <f>IF(kolokviji__2[[#This Row],[skupaj]]&lt;50, 5, IF(kolokviji__2[[#This Row],[skupaj]]=100, 10, ROUND(kolokviji__2[[#This Row],[skupaj]]/10+1,0)))</f>
        <v>7</v>
      </c>
    </row>
    <row r="8" spans="1:9" x14ac:dyDescent="0.3">
      <c r="A8" t="s">
        <v>64</v>
      </c>
      <c r="B8" s="30" t="s">
        <v>63</v>
      </c>
      <c r="C8">
        <v>77</v>
      </c>
      <c r="D8">
        <v>47</v>
      </c>
      <c r="E8">
        <v>85</v>
      </c>
      <c r="F8">
        <v>89</v>
      </c>
      <c r="G8">
        <v>100</v>
      </c>
      <c r="H8">
        <f>(kolokviji__2[[#This Row],[K1]]+kolokviji__2[[#This Row],[K2]]+kolokviji__2[[#This Row],[K3]])*0.25+0.15*kolokviji__2[[#This Row],[DN]]+0.1*kolokviji__2[[#This Row],[udeležba]]</f>
        <v>75.599999999999994</v>
      </c>
      <c r="I8">
        <f>IF(kolokviji__2[[#This Row],[skupaj]]&lt;50, 5, IF(kolokviji__2[[#This Row],[skupaj]]=100, 10, ROUND(kolokviji__2[[#This Row],[skupaj]]/10+1,0)))</f>
        <v>9</v>
      </c>
    </row>
    <row r="9" spans="1:9" x14ac:dyDescent="0.3">
      <c r="A9" t="s">
        <v>66</v>
      </c>
      <c r="B9" s="33" t="s">
        <v>65</v>
      </c>
      <c r="C9">
        <v>100</v>
      </c>
      <c r="D9">
        <v>100</v>
      </c>
      <c r="E9">
        <v>100</v>
      </c>
      <c r="F9">
        <v>100</v>
      </c>
      <c r="G9">
        <v>100</v>
      </c>
      <c r="H9">
        <f>(kolokviji__2[[#This Row],[K1]]+kolokviji__2[[#This Row],[K2]]+kolokviji__2[[#This Row],[K3]])*0.25+0.15*kolokviji__2[[#This Row],[DN]]+0.1*kolokviji__2[[#This Row],[udeležba]]</f>
        <v>100</v>
      </c>
      <c r="I9">
        <f>IF(kolokviji__2[[#This Row],[skupaj]]&lt;50, 5, IF(kolokviji__2[[#This Row],[skupaj]]=100, 10, ROUND(kolokviji__2[[#This Row],[skupaj]]/10+1,0)))</f>
        <v>10</v>
      </c>
    </row>
    <row r="10" spans="1:9" x14ac:dyDescent="0.3">
      <c r="A10" t="s">
        <v>39</v>
      </c>
      <c r="B10" s="30" t="s">
        <v>38</v>
      </c>
      <c r="C10">
        <v>94</v>
      </c>
      <c r="D10">
        <v>53</v>
      </c>
      <c r="E10">
        <v>51</v>
      </c>
      <c r="F10">
        <v>59</v>
      </c>
      <c r="G10">
        <v>90</v>
      </c>
      <c r="H10">
        <f>(kolokviji__2[[#This Row],[K1]]+kolokviji__2[[#This Row],[K2]]+kolokviji__2[[#This Row],[K3]])*0.25+0.15*kolokviji__2[[#This Row],[DN]]+0.1*kolokviji__2[[#This Row],[udeležba]]</f>
        <v>67.349999999999994</v>
      </c>
      <c r="I10">
        <f>IF(kolokviji__2[[#This Row],[skupaj]]&lt;50, 5, IF(kolokviji__2[[#This Row],[skupaj]]=100, 10, ROUND(kolokviji__2[[#This Row],[skupaj]]/10+1,0)))</f>
        <v>8</v>
      </c>
    </row>
    <row r="11" spans="1:9" x14ac:dyDescent="0.3">
      <c r="A11" t="s">
        <v>68</v>
      </c>
      <c r="B11" s="33" t="s">
        <v>67</v>
      </c>
      <c r="C11">
        <v>58</v>
      </c>
      <c r="D11">
        <v>33</v>
      </c>
      <c r="E11">
        <v>54</v>
      </c>
      <c r="F11">
        <v>54</v>
      </c>
      <c r="G11">
        <v>99</v>
      </c>
      <c r="H11">
        <f>(kolokviji__2[[#This Row],[K1]]+kolokviji__2[[#This Row],[K2]]+kolokviji__2[[#This Row],[K3]])*0.25+0.15*kolokviji__2[[#This Row],[DN]]+0.1*kolokviji__2[[#This Row],[udeležba]]</f>
        <v>54.25</v>
      </c>
      <c r="I11">
        <f>IF(kolokviji__2[[#This Row],[skupaj]]&lt;50, 5, IF(kolokviji__2[[#This Row],[skupaj]]=100, 10, ROUND(kolokviji__2[[#This Row],[skupaj]]/10+1,0)))</f>
        <v>6</v>
      </c>
    </row>
    <row r="12" spans="1:9" x14ac:dyDescent="0.3">
      <c r="A12" t="s">
        <v>41</v>
      </c>
      <c r="B12" s="30" t="s">
        <v>40</v>
      </c>
      <c r="C12">
        <v>44</v>
      </c>
      <c r="D12">
        <v>44</v>
      </c>
      <c r="E12">
        <v>61</v>
      </c>
      <c r="F12">
        <v>96</v>
      </c>
      <c r="G12">
        <v>62</v>
      </c>
      <c r="H12">
        <f>(kolokviji__2[[#This Row],[K1]]+kolokviji__2[[#This Row],[K2]]+kolokviji__2[[#This Row],[K3]])*0.25+0.15*kolokviji__2[[#This Row],[DN]]+0.1*kolokviji__2[[#This Row],[udeležba]]</f>
        <v>57.85</v>
      </c>
      <c r="I12">
        <f>IF(kolokviji__2[[#This Row],[skupaj]]&lt;50, 5, IF(kolokviji__2[[#This Row],[skupaj]]=100, 10, ROUND(kolokviji__2[[#This Row],[skupaj]]/10+1,0)))</f>
        <v>7</v>
      </c>
    </row>
    <row r="13" spans="1:9" x14ac:dyDescent="0.3">
      <c r="A13" t="s">
        <v>43</v>
      </c>
      <c r="B13" s="33" t="s">
        <v>42</v>
      </c>
      <c r="C13">
        <v>34</v>
      </c>
      <c r="D13">
        <v>77</v>
      </c>
      <c r="E13">
        <v>66</v>
      </c>
      <c r="F13">
        <v>68</v>
      </c>
      <c r="G13">
        <v>92</v>
      </c>
      <c r="H13">
        <f>(kolokviji__2[[#This Row],[K1]]+kolokviji__2[[#This Row],[K2]]+kolokviji__2[[#This Row],[K3]])*0.25+0.15*kolokviji__2[[#This Row],[DN]]+0.1*kolokviji__2[[#This Row],[udeležba]]</f>
        <v>63.650000000000006</v>
      </c>
      <c r="I13">
        <f>IF(kolokviji__2[[#This Row],[skupaj]]&lt;50, 5, IF(kolokviji__2[[#This Row],[skupaj]]=100, 10, ROUND(kolokviji__2[[#This Row],[skupaj]]/10+1,0)))</f>
        <v>7</v>
      </c>
    </row>
    <row r="14" spans="1:9" x14ac:dyDescent="0.3">
      <c r="A14" t="s">
        <v>70</v>
      </c>
      <c r="B14" s="30" t="s">
        <v>69</v>
      </c>
      <c r="C14">
        <v>86</v>
      </c>
      <c r="D14">
        <v>39</v>
      </c>
      <c r="E14">
        <v>97</v>
      </c>
      <c r="F14">
        <v>100</v>
      </c>
      <c r="G14">
        <v>100</v>
      </c>
      <c r="H14">
        <f>(kolokviji__2[[#This Row],[K1]]+kolokviji__2[[#This Row],[K2]]+kolokviji__2[[#This Row],[K3]])*0.25+0.15*kolokviji__2[[#This Row],[DN]]+0.1*kolokviji__2[[#This Row],[udeležba]]</f>
        <v>80.5</v>
      </c>
      <c r="I14">
        <f>IF(kolokviji__2[[#This Row],[skupaj]]&lt;50, 5, IF(kolokviji__2[[#This Row],[skupaj]]=100, 10, ROUND(kolokviji__2[[#This Row],[skupaj]]/10+1,0)))</f>
        <v>9</v>
      </c>
    </row>
    <row r="15" spans="1:9" x14ac:dyDescent="0.3">
      <c r="A15" t="s">
        <v>72</v>
      </c>
      <c r="B15" s="33" t="s">
        <v>71</v>
      </c>
      <c r="C15">
        <v>90</v>
      </c>
      <c r="D15">
        <v>86</v>
      </c>
      <c r="E15">
        <v>95</v>
      </c>
      <c r="F15">
        <v>88</v>
      </c>
      <c r="G15">
        <v>95</v>
      </c>
      <c r="H15">
        <f>(kolokviji__2[[#This Row],[K1]]+kolokviji__2[[#This Row],[K2]]+kolokviji__2[[#This Row],[K3]])*0.25+0.15*kolokviji__2[[#This Row],[DN]]+0.1*kolokviji__2[[#This Row],[udeležba]]</f>
        <v>90.45</v>
      </c>
      <c r="I15">
        <f>IF(kolokviji__2[[#This Row],[skupaj]]&lt;50, 5, IF(kolokviji__2[[#This Row],[skupaj]]=100, 10, ROUND(kolokviji__2[[#This Row],[skupaj]]/10+1,0)))</f>
        <v>10</v>
      </c>
    </row>
    <row r="16" spans="1:9" x14ac:dyDescent="0.3">
      <c r="A16" t="s">
        <v>45</v>
      </c>
      <c r="B16" s="30" t="s">
        <v>44</v>
      </c>
      <c r="C16">
        <v>57</v>
      </c>
      <c r="D16">
        <v>84</v>
      </c>
      <c r="E16">
        <v>92</v>
      </c>
      <c r="F16">
        <v>77</v>
      </c>
      <c r="G16">
        <v>85</v>
      </c>
      <c r="H16">
        <f>(kolokviji__2[[#This Row],[K1]]+kolokviji__2[[#This Row],[K2]]+kolokviji__2[[#This Row],[K3]])*0.25+0.15*kolokviji__2[[#This Row],[DN]]+0.1*kolokviji__2[[#This Row],[udeležba]]</f>
        <v>78.3</v>
      </c>
      <c r="I16">
        <f>IF(kolokviji__2[[#This Row],[skupaj]]&lt;50, 5, IF(kolokviji__2[[#This Row],[skupaj]]=100, 10, ROUND(kolokviji__2[[#This Row],[skupaj]]/10+1,0)))</f>
        <v>9</v>
      </c>
    </row>
    <row r="17" spans="1:9" x14ac:dyDescent="0.3">
      <c r="A17" t="s">
        <v>47</v>
      </c>
      <c r="B17" s="33" t="s">
        <v>46</v>
      </c>
      <c r="C17">
        <v>42</v>
      </c>
      <c r="D17">
        <v>80</v>
      </c>
      <c r="E17">
        <v>78</v>
      </c>
      <c r="F17">
        <v>88</v>
      </c>
      <c r="G17">
        <v>98</v>
      </c>
      <c r="H17">
        <f>(kolokviji__2[[#This Row],[K1]]+kolokviji__2[[#This Row],[K2]]+kolokviji__2[[#This Row],[K3]])*0.25+0.15*kolokviji__2[[#This Row],[DN]]+0.1*kolokviji__2[[#This Row],[udeležba]]</f>
        <v>73</v>
      </c>
      <c r="I17">
        <f>IF(kolokviji__2[[#This Row],[skupaj]]&lt;50, 5, IF(kolokviji__2[[#This Row],[skupaj]]=100, 10, ROUND(kolokviji__2[[#This Row],[skupaj]]/10+1,0)))</f>
        <v>8</v>
      </c>
    </row>
    <row r="18" spans="1:9" x14ac:dyDescent="0.3">
      <c r="A18" t="s">
        <v>74</v>
      </c>
      <c r="B18" s="30" t="s">
        <v>73</v>
      </c>
      <c r="C18">
        <v>44</v>
      </c>
      <c r="D18">
        <v>49</v>
      </c>
      <c r="E18">
        <v>81</v>
      </c>
      <c r="F18">
        <v>91</v>
      </c>
      <c r="G18">
        <v>68</v>
      </c>
      <c r="H18">
        <f>(kolokviji__2[[#This Row],[K1]]+kolokviji__2[[#This Row],[K2]]+kolokviji__2[[#This Row],[K3]])*0.25+0.15*kolokviji__2[[#This Row],[DN]]+0.1*kolokviji__2[[#This Row],[udeležba]]</f>
        <v>63.95</v>
      </c>
      <c r="I18">
        <f>IF(kolokviji__2[[#This Row],[skupaj]]&lt;50, 5, IF(kolokviji__2[[#This Row],[skupaj]]=100, 10, ROUND(kolokviji__2[[#This Row],[skupaj]]/10+1,0)))</f>
        <v>7</v>
      </c>
    </row>
    <row r="19" spans="1:9" x14ac:dyDescent="0.3">
      <c r="A19" t="s">
        <v>49</v>
      </c>
      <c r="B19" s="33" t="s">
        <v>48</v>
      </c>
      <c r="C19">
        <v>64</v>
      </c>
      <c r="D19">
        <v>94</v>
      </c>
      <c r="E19">
        <v>64</v>
      </c>
      <c r="F19">
        <v>52</v>
      </c>
      <c r="G19">
        <v>80</v>
      </c>
      <c r="H19">
        <f>(kolokviji__2[[#This Row],[K1]]+kolokviji__2[[#This Row],[K2]]+kolokviji__2[[#This Row],[K3]])*0.25+0.15*kolokviji__2[[#This Row],[DN]]+0.1*kolokviji__2[[#This Row],[udeležba]]</f>
        <v>71.3</v>
      </c>
      <c r="I19">
        <f>IF(kolokviji__2[[#This Row],[skupaj]]&lt;50, 5, IF(kolokviji__2[[#This Row],[skupaj]]=100, 10, ROUND(kolokviji__2[[#This Row],[skupaj]]/10+1,0)))</f>
        <v>8</v>
      </c>
    </row>
    <row r="20" spans="1:9" x14ac:dyDescent="0.3">
      <c r="A20" t="s">
        <v>51</v>
      </c>
      <c r="B20" s="30" t="s">
        <v>50</v>
      </c>
      <c r="C20">
        <v>30</v>
      </c>
      <c r="D20">
        <v>31</v>
      </c>
      <c r="E20">
        <v>45</v>
      </c>
      <c r="F20">
        <v>50</v>
      </c>
      <c r="G20">
        <v>70</v>
      </c>
      <c r="H20">
        <f>(kolokviji__2[[#This Row],[K1]]+kolokviji__2[[#This Row],[K2]]+kolokviji__2[[#This Row],[K3]])*0.25+0.15*kolokviji__2[[#This Row],[DN]]+0.1*kolokviji__2[[#This Row],[udeležba]]</f>
        <v>41</v>
      </c>
      <c r="I20">
        <f>IF(kolokviji__2[[#This Row],[skupaj]]&lt;50, 5, IF(kolokviji__2[[#This Row],[skupaj]]=100, 10, ROUND(kolokviji__2[[#This Row],[skupaj]]/10+1,0)))</f>
        <v>5</v>
      </c>
    </row>
    <row r="21" spans="1:9" x14ac:dyDescent="0.3">
      <c r="A21" t="s">
        <v>55</v>
      </c>
      <c r="B21" s="33" t="s">
        <v>75</v>
      </c>
      <c r="C21">
        <v>57</v>
      </c>
      <c r="D21">
        <v>49</v>
      </c>
      <c r="E21">
        <v>58</v>
      </c>
      <c r="F21">
        <v>79</v>
      </c>
      <c r="G21">
        <v>53</v>
      </c>
      <c r="H21">
        <f>(kolokviji__2[[#This Row],[K1]]+kolokviji__2[[#This Row],[K2]]+kolokviji__2[[#This Row],[K3]])*0.25+0.15*kolokviji__2[[#This Row],[DN]]+0.1*kolokviji__2[[#This Row],[udeležba]]</f>
        <v>58.150000000000006</v>
      </c>
      <c r="I21">
        <f>IF(kolokviji__2[[#This Row],[skupaj]]&lt;50, 5, IF(kolokviji__2[[#This Row],[skupaj]]=100, 10, ROUND(kolokviji__2[[#This Row],[skupaj]]/10+1,0)))</f>
        <v>7</v>
      </c>
    </row>
    <row r="22" spans="1:9" x14ac:dyDescent="0.3">
      <c r="A22" t="s">
        <v>77</v>
      </c>
      <c r="B22" s="30" t="s">
        <v>76</v>
      </c>
      <c r="C22">
        <v>43</v>
      </c>
      <c r="D22">
        <v>51</v>
      </c>
      <c r="E22">
        <v>72</v>
      </c>
      <c r="F22">
        <v>72</v>
      </c>
      <c r="G22">
        <v>65</v>
      </c>
      <c r="H22">
        <f>(kolokviji__2[[#This Row],[K1]]+kolokviji__2[[#This Row],[K2]]+kolokviji__2[[#This Row],[K3]])*0.25+0.15*kolokviji__2[[#This Row],[DN]]+0.1*kolokviji__2[[#This Row],[udeležba]]</f>
        <v>58.8</v>
      </c>
      <c r="I22">
        <f>IF(kolokviji__2[[#This Row],[skupaj]]&lt;50, 5, IF(kolokviji__2[[#This Row],[skupaj]]=100, 10, ROUND(kolokviji__2[[#This Row],[skupaj]]/10+1,0)))</f>
        <v>7</v>
      </c>
    </row>
    <row r="23" spans="1:9" x14ac:dyDescent="0.3">
      <c r="A23" t="s">
        <v>87</v>
      </c>
      <c r="B23" s="33" t="s">
        <v>86</v>
      </c>
      <c r="C23">
        <v>38</v>
      </c>
      <c r="D23">
        <v>32</v>
      </c>
      <c r="E23">
        <v>60</v>
      </c>
      <c r="F23">
        <v>61</v>
      </c>
      <c r="G23">
        <v>96</v>
      </c>
      <c r="H23">
        <f>(kolokviji__2[[#This Row],[K1]]+kolokviji__2[[#This Row],[K2]]+kolokviji__2[[#This Row],[K3]])*0.25+0.15*kolokviji__2[[#This Row],[DN]]+0.1*kolokviji__2[[#This Row],[udeležba]]</f>
        <v>51.25</v>
      </c>
      <c r="I23">
        <f>IF(kolokviji__2[[#This Row],[skupaj]]&lt;50, 5, IF(kolokviji__2[[#This Row],[skupaj]]=100, 10, ROUND(kolokviji__2[[#This Row],[skupaj]]/10+1,0)))</f>
        <v>6</v>
      </c>
    </row>
    <row r="24" spans="1:9" x14ac:dyDescent="0.3">
      <c r="A24" t="s">
        <v>79</v>
      </c>
      <c r="B24" s="30" t="s">
        <v>78</v>
      </c>
      <c r="C24">
        <v>85</v>
      </c>
      <c r="D24">
        <v>80</v>
      </c>
      <c r="E24">
        <v>71</v>
      </c>
      <c r="F24">
        <v>95</v>
      </c>
      <c r="G24">
        <v>91</v>
      </c>
      <c r="H24">
        <f>(kolokviji__2[[#This Row],[K1]]+kolokviji__2[[#This Row],[K2]]+kolokviji__2[[#This Row],[K3]])*0.25+0.15*kolokviji__2[[#This Row],[DN]]+0.1*kolokviji__2[[#This Row],[udeležba]]</f>
        <v>82.35</v>
      </c>
      <c r="I24">
        <f>IF(kolokviji__2[[#This Row],[skupaj]]&lt;50, 5, IF(kolokviji__2[[#This Row],[skupaj]]=100, 10, ROUND(kolokviji__2[[#This Row],[skupaj]]/10+1,0)))</f>
        <v>9</v>
      </c>
    </row>
    <row r="25" spans="1:9" x14ac:dyDescent="0.3">
      <c r="A25" t="s">
        <v>81</v>
      </c>
      <c r="B25" s="33" t="s">
        <v>80</v>
      </c>
      <c r="C25">
        <v>76</v>
      </c>
      <c r="D25">
        <v>84</v>
      </c>
      <c r="E25">
        <v>78</v>
      </c>
      <c r="F25">
        <v>97</v>
      </c>
      <c r="G25">
        <v>100</v>
      </c>
      <c r="H25">
        <f>(kolokviji__2[[#This Row],[K1]]+kolokviji__2[[#This Row],[K2]]+kolokviji__2[[#This Row],[K3]])*0.25+0.15*kolokviji__2[[#This Row],[DN]]+0.1*kolokviji__2[[#This Row],[udeležba]]</f>
        <v>84.05</v>
      </c>
      <c r="I25">
        <f>IF(kolokviji__2[[#This Row],[skupaj]]&lt;50, 5, IF(kolokviji__2[[#This Row],[skupaj]]=100, 10, ROUND(kolokviji__2[[#This Row],[skupaj]]/10+1,0)))</f>
        <v>9</v>
      </c>
    </row>
    <row r="26" spans="1:9" x14ac:dyDescent="0.3">
      <c r="A26" t="s">
        <v>83</v>
      </c>
      <c r="B26" s="30" t="s">
        <v>82</v>
      </c>
      <c r="C26">
        <v>34</v>
      </c>
      <c r="D26">
        <v>64</v>
      </c>
      <c r="E26">
        <v>68</v>
      </c>
      <c r="F26">
        <v>84</v>
      </c>
      <c r="G26">
        <v>67</v>
      </c>
      <c r="H26">
        <f>(kolokviji__2[[#This Row],[K1]]+kolokviji__2[[#This Row],[K2]]+kolokviji__2[[#This Row],[K3]])*0.25+0.15*kolokviji__2[[#This Row],[DN]]+0.1*kolokviji__2[[#This Row],[udeležba]]</f>
        <v>60.800000000000004</v>
      </c>
      <c r="I26">
        <f>IF(kolokviji__2[[#This Row],[skupaj]]&lt;50, 5, IF(kolokviji__2[[#This Row],[skupaj]]=100, 10, ROUND(kolokviji__2[[#This Row],[skupaj]]/10+1,0)))</f>
        <v>7</v>
      </c>
    </row>
    <row r="27" spans="1:9" x14ac:dyDescent="0.3">
      <c r="A27" t="s">
        <v>85</v>
      </c>
      <c r="B27" s="33" t="s">
        <v>84</v>
      </c>
      <c r="C27">
        <v>79</v>
      </c>
      <c r="D27">
        <v>33</v>
      </c>
      <c r="E27">
        <v>39</v>
      </c>
      <c r="F27">
        <v>95</v>
      </c>
      <c r="G27">
        <v>87</v>
      </c>
      <c r="H27">
        <f>(kolokviji__2[[#This Row],[K1]]+kolokviji__2[[#This Row],[K2]]+kolokviji__2[[#This Row],[K3]])*0.25+0.15*kolokviji__2[[#This Row],[DN]]+0.1*kolokviji__2[[#This Row],[udeležba]]</f>
        <v>60.7</v>
      </c>
      <c r="I27">
        <f>IF(kolokviji__2[[#This Row],[skupaj]]&lt;50, 5, IF(kolokviji__2[[#This Row],[skupaj]]=100, 10, ROUND(kolokviji__2[[#This Row],[skupaj]]/10+1,0)))</f>
        <v>7</v>
      </c>
    </row>
    <row r="28" spans="1:9" x14ac:dyDescent="0.3">
      <c r="A28" t="s">
        <v>53</v>
      </c>
      <c r="B28" s="30" t="s">
        <v>52</v>
      </c>
      <c r="C28">
        <v>70</v>
      </c>
      <c r="D28">
        <v>52</v>
      </c>
      <c r="E28">
        <v>62</v>
      </c>
      <c r="F28">
        <v>69</v>
      </c>
      <c r="G28">
        <v>100</v>
      </c>
      <c r="H28">
        <f>(kolokviji__2[[#This Row],[K1]]+kolokviji__2[[#This Row],[K2]]+kolokviji__2[[#This Row],[K3]])*0.25+0.15*kolokviji__2[[#This Row],[DN]]+0.1*kolokviji__2[[#This Row],[udeležba]]</f>
        <v>66.349999999999994</v>
      </c>
      <c r="I28">
        <f>IF(kolokviji__2[[#This Row],[skupaj]]&lt;50, 5, IF(kolokviji__2[[#This Row],[skupaj]]=100, 10, ROUND(kolokviji__2[[#This Row],[skupaj]]/10+1,0)))</f>
        <v>8</v>
      </c>
    </row>
    <row r="29" spans="1:9" x14ac:dyDescent="0.3">
      <c r="A29" t="s">
        <v>57</v>
      </c>
      <c r="B29" s="33" t="s">
        <v>56</v>
      </c>
      <c r="C29">
        <v>66</v>
      </c>
      <c r="D29">
        <v>86</v>
      </c>
      <c r="E29">
        <v>67</v>
      </c>
      <c r="F29">
        <v>99</v>
      </c>
      <c r="G29">
        <v>100</v>
      </c>
      <c r="H29">
        <f>(kolokviji__2[[#This Row],[K1]]+kolokviji__2[[#This Row],[K2]]+kolokviji__2[[#This Row],[K3]])*0.25+0.15*kolokviji__2[[#This Row],[DN]]+0.1*kolokviji__2[[#This Row],[udeležba]]</f>
        <v>79.599999999999994</v>
      </c>
      <c r="I29">
        <f>IF(kolokviji__2[[#This Row],[skupaj]]&lt;50, 5, IF(kolokviji__2[[#This Row],[skupaj]]=100, 10, ROUND(kolokviji__2[[#This Row],[skupaj]]/10+1,0)))</f>
        <v>9</v>
      </c>
    </row>
    <row r="30" spans="1:9" x14ac:dyDescent="0.3">
      <c r="A30" t="s">
        <v>55</v>
      </c>
      <c r="B30" s="30" t="s">
        <v>54</v>
      </c>
      <c r="C30">
        <v>98</v>
      </c>
      <c r="D30">
        <v>75</v>
      </c>
      <c r="E30">
        <v>42</v>
      </c>
      <c r="F30">
        <v>83</v>
      </c>
      <c r="G30">
        <v>57</v>
      </c>
      <c r="H30">
        <f>(kolokviji__2[[#This Row],[K1]]+kolokviji__2[[#This Row],[K2]]+kolokviji__2[[#This Row],[K3]])*0.25+0.15*kolokviji__2[[#This Row],[DN]]+0.1*kolokviji__2[[#This Row],[udeležba]]</f>
        <v>71.900000000000006</v>
      </c>
      <c r="I30">
        <f>IF(kolokviji__2[[#This Row],[skupaj]]&lt;50, 5, IF(kolokviji__2[[#This Row],[skupaj]]=100, 10, ROUND(kolokviji__2[[#This Row],[skupaj]]/10+1,0)))</f>
        <v>8</v>
      </c>
    </row>
    <row r="31" spans="1:9" x14ac:dyDescent="0.3">
      <c r="A31" t="s">
        <v>59</v>
      </c>
      <c r="B31" s="33" t="s">
        <v>58</v>
      </c>
      <c r="C31">
        <v>46</v>
      </c>
      <c r="D31">
        <v>56</v>
      </c>
      <c r="E31">
        <v>78</v>
      </c>
      <c r="F31">
        <v>94</v>
      </c>
      <c r="G31">
        <v>99</v>
      </c>
      <c r="H31">
        <f>(kolokviji__2[[#This Row],[K1]]+kolokviji__2[[#This Row],[K2]]+kolokviji__2[[#This Row],[K3]])*0.25+0.15*kolokviji__2[[#This Row],[DN]]+0.1*kolokviji__2[[#This Row],[udeležba]]</f>
        <v>69</v>
      </c>
      <c r="I31">
        <f>IF(kolokviji__2[[#This Row],[skupaj]]&lt;50, 5, IF(kolokviji__2[[#This Row],[skupaj]]=100, 10, ROUND(kolokviji__2[[#This Row],[skupaj]]/10+1,0)))</f>
        <v>8</v>
      </c>
    </row>
    <row r="32" spans="1:9" x14ac:dyDescent="0.3">
      <c r="A32" s="32" t="s">
        <v>90</v>
      </c>
      <c r="B32" s="32"/>
      <c r="C32" s="34">
        <f>SUBTOTAL(101,kolokviji__2[K1])</f>
        <v>60.366666666666667</v>
      </c>
      <c r="D32" s="34">
        <f>SUBTOTAL(101,kolokviji__2[K2])</f>
        <v>61.166666666666664</v>
      </c>
      <c r="E32" s="34">
        <f>SUBTOTAL(101,kolokviji__2[K3])</f>
        <v>67.566666666666663</v>
      </c>
      <c r="F32" s="34">
        <f>SUBTOTAL(101,kolokviji__2[DN])</f>
        <v>79.166666666666671</v>
      </c>
      <c r="G32" s="34">
        <f>SUBTOTAL(101,kolokviji__2[udeležba])</f>
        <v>84.433333333333337</v>
      </c>
      <c r="H32" s="34">
        <f>SUBTOTAL(101,kolokviji__2[skupaj])</f>
        <v>67.593333333333334</v>
      </c>
      <c r="I32" s="34">
        <f>SUBTOTAL(101,kolokviji__2[ocena])</f>
        <v>7.666666666666667</v>
      </c>
    </row>
  </sheetData>
  <conditionalFormatting sqref="I2:I31">
    <cfRule type="expression" dxfId="3" priority="1">
      <formula>"I2&gt;5"</formula>
    </cfRule>
    <cfRule type="expression" dxfId="2" priority="2">
      <formula>I2&gt;5</formula>
    </cfRule>
    <cfRule type="expression" dxfId="1" priority="3">
      <formula>I2&lt;=5</formula>
    </cfRule>
    <cfRule type="expression" dxfId="0" priority="4">
      <formula>"A2=5"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1182-AC57-4E2D-9586-75CB1213D252}">
  <dimension ref="A11:J17"/>
  <sheetViews>
    <sheetView topLeftCell="C9" workbookViewId="0">
      <selection activeCell="K31" sqref="K31"/>
    </sheetView>
  </sheetViews>
  <sheetFormatPr defaultRowHeight="14.4" x14ac:dyDescent="0.3"/>
  <cols>
    <col min="1" max="1" width="18.33203125" bestFit="1" customWidth="1"/>
    <col min="2" max="2" width="13.77734375" customWidth="1"/>
    <col min="3" max="6" width="13.5546875" bestFit="1" customWidth="1"/>
    <col min="7" max="7" width="12.44140625" bestFit="1" customWidth="1"/>
    <col min="8" max="8" width="13.5546875" bestFit="1" customWidth="1"/>
    <col min="9" max="9" width="12.88671875" bestFit="1" customWidth="1"/>
    <col min="10" max="10" width="13.5546875" bestFit="1" customWidth="1"/>
  </cols>
  <sheetData>
    <row r="11" spans="1:10" ht="15" thickBot="1" x14ac:dyDescent="0.35"/>
    <row r="12" spans="1:10" ht="15" thickBot="1" x14ac:dyDescent="0.35">
      <c r="B12" s="76" t="s">
        <v>102</v>
      </c>
      <c r="C12" s="77"/>
      <c r="D12" s="77"/>
      <c r="E12" s="77"/>
      <c r="F12" s="77"/>
      <c r="G12" s="78"/>
      <c r="H12" s="79" t="s">
        <v>93</v>
      </c>
      <c r="I12" s="81" t="s">
        <v>99</v>
      </c>
      <c r="J12" s="83" t="s">
        <v>100</v>
      </c>
    </row>
    <row r="13" spans="1:10" ht="15" thickBot="1" x14ac:dyDescent="0.35">
      <c r="B13" s="37" t="s">
        <v>19</v>
      </c>
      <c r="C13" s="38" t="s">
        <v>20</v>
      </c>
      <c r="D13" s="38" t="s">
        <v>21</v>
      </c>
      <c r="E13" s="38" t="s">
        <v>22</v>
      </c>
      <c r="F13" s="38" t="s">
        <v>23</v>
      </c>
      <c r="G13" s="39" t="s">
        <v>24</v>
      </c>
      <c r="H13" s="80"/>
      <c r="I13" s="82"/>
      <c r="J13" s="84"/>
    </row>
    <row r="14" spans="1:10" ht="15" thickBot="1" x14ac:dyDescent="0.35">
      <c r="A14" s="41">
        <v>2020</v>
      </c>
      <c r="B14" s="42">
        <v>112</v>
      </c>
      <c r="C14" s="43">
        <v>165</v>
      </c>
      <c r="D14" s="43">
        <v>233</v>
      </c>
      <c r="E14" s="43">
        <v>247</v>
      </c>
      <c r="F14" s="43">
        <v>123</v>
      </c>
      <c r="G14" s="44">
        <v>63</v>
      </c>
      <c r="H14" s="35">
        <f>SUM(B14:G14)</f>
        <v>943</v>
      </c>
      <c r="I14" s="36">
        <v>0.8</v>
      </c>
      <c r="J14" s="55">
        <f>H14*I14</f>
        <v>754.40000000000009</v>
      </c>
    </row>
    <row r="15" spans="1:10" ht="15" thickBot="1" x14ac:dyDescent="0.35">
      <c r="A15" s="45">
        <v>2021</v>
      </c>
      <c r="B15" s="46">
        <v>124</v>
      </c>
      <c r="C15" s="47">
        <v>182</v>
      </c>
      <c r="D15" s="47">
        <v>246</v>
      </c>
      <c r="E15" s="47">
        <v>252</v>
      </c>
      <c r="F15" s="47">
        <v>147</v>
      </c>
      <c r="G15" s="48">
        <v>97</v>
      </c>
      <c r="H15" s="35">
        <f>SUM(B15:G15)</f>
        <v>1048</v>
      </c>
      <c r="I15" s="47">
        <v>1</v>
      </c>
      <c r="J15" s="55">
        <f t="shared" ref="J15:J16" si="0">H15*I15</f>
        <v>1048</v>
      </c>
    </row>
    <row r="16" spans="1:10" ht="15" thickBot="1" x14ac:dyDescent="0.35">
      <c r="A16" s="49">
        <v>2022</v>
      </c>
      <c r="B16" s="50">
        <v>144</v>
      </c>
      <c r="C16" s="51">
        <v>215</v>
      </c>
      <c r="D16" s="51">
        <v>175</v>
      </c>
      <c r="E16" s="51">
        <v>162</v>
      </c>
      <c r="F16" s="51">
        <v>133</v>
      </c>
      <c r="G16" s="52">
        <v>105</v>
      </c>
      <c r="H16" s="35">
        <f>SUM(B16:G16)</f>
        <v>934</v>
      </c>
      <c r="I16" s="40">
        <v>1.1000000000000001</v>
      </c>
      <c r="J16" s="55">
        <f t="shared" si="0"/>
        <v>1027.4000000000001</v>
      </c>
    </row>
    <row r="17" spans="1:10" ht="15" thickBot="1" x14ac:dyDescent="0.35">
      <c r="A17" s="53" t="s">
        <v>101</v>
      </c>
      <c r="B17" s="54">
        <f>AVERAGE(B14:B16)</f>
        <v>126.66666666666667</v>
      </c>
      <c r="C17" s="54">
        <f t="shared" ref="C17:G17" si="1">AVERAGE(C14:C16)</f>
        <v>187.33333333333334</v>
      </c>
      <c r="D17" s="54">
        <f t="shared" si="1"/>
        <v>218</v>
      </c>
      <c r="E17" s="54">
        <f t="shared" si="1"/>
        <v>220.33333333333334</v>
      </c>
      <c r="F17" s="54">
        <f t="shared" si="1"/>
        <v>134.33333333333334</v>
      </c>
      <c r="G17" s="54">
        <f t="shared" si="1"/>
        <v>88.333333333333329</v>
      </c>
      <c r="H17" s="54">
        <f t="shared" ref="H17" si="2">AVERAGE(H14:H16)</f>
        <v>975</v>
      </c>
      <c r="I17" s="54">
        <f t="shared" ref="I17:J17" si="3">AVERAGE(I14:I16)</f>
        <v>0.96666666666666679</v>
      </c>
      <c r="J17" s="54">
        <f t="shared" si="3"/>
        <v>943.26666666666677</v>
      </c>
    </row>
  </sheetData>
  <mergeCells count="4">
    <mergeCell ref="B12:G12"/>
    <mergeCell ref="H12:H13"/>
    <mergeCell ref="I12:I13"/>
    <mergeCell ref="J12:J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677B-C5FF-41D4-9F9C-13CCE09AA24F}">
  <dimension ref="A11:F27"/>
  <sheetViews>
    <sheetView topLeftCell="A23" workbookViewId="0">
      <selection activeCell="H10" sqref="H10"/>
    </sheetView>
  </sheetViews>
  <sheetFormatPr defaultRowHeight="14.4" x14ac:dyDescent="0.3"/>
  <cols>
    <col min="1" max="1" width="28.5546875" bestFit="1" customWidth="1"/>
    <col min="2" max="9" width="10.77734375" bestFit="1" customWidth="1"/>
    <col min="10" max="10" width="11.77734375" bestFit="1" customWidth="1"/>
  </cols>
  <sheetData>
    <row r="11" spans="1:6" x14ac:dyDescent="0.3">
      <c r="A11" s="85" t="s">
        <v>103</v>
      </c>
      <c r="B11" s="85"/>
      <c r="C11" s="85"/>
      <c r="D11" s="85"/>
      <c r="E11" s="85"/>
      <c r="F11" s="85"/>
    </row>
    <row r="12" spans="1:6" x14ac:dyDescent="0.3">
      <c r="A12" s="85"/>
      <c r="B12" s="85"/>
      <c r="C12" s="85"/>
      <c r="D12" s="85"/>
      <c r="E12" s="85"/>
      <c r="F12" s="85"/>
    </row>
    <row r="17" spans="1:6" x14ac:dyDescent="0.3">
      <c r="A17" t="s">
        <v>104</v>
      </c>
      <c r="B17">
        <v>20</v>
      </c>
    </row>
    <row r="18" spans="1:6" x14ac:dyDescent="0.3">
      <c r="A18" t="s">
        <v>105</v>
      </c>
      <c r="B18">
        <v>0.5</v>
      </c>
    </row>
    <row r="19" spans="1:6" x14ac:dyDescent="0.3">
      <c r="A19" t="s">
        <v>106</v>
      </c>
      <c r="B19">
        <v>0.3</v>
      </c>
    </row>
    <row r="20" spans="1:6" ht="15" thickBot="1" x14ac:dyDescent="0.35"/>
    <row r="21" spans="1:6" ht="15" thickBot="1" x14ac:dyDescent="0.35">
      <c r="A21" s="58" t="s">
        <v>107</v>
      </c>
      <c r="B21" s="59" t="s">
        <v>108</v>
      </c>
      <c r="C21" s="62" t="s">
        <v>109</v>
      </c>
      <c r="D21" s="60" t="s">
        <v>110</v>
      </c>
    </row>
    <row r="22" spans="1:6" x14ac:dyDescent="0.3">
      <c r="A22" s="56" t="s">
        <v>49</v>
      </c>
      <c r="B22" s="26" t="s">
        <v>111</v>
      </c>
      <c r="C22" s="63">
        <v>4</v>
      </c>
      <c r="D22" s="20">
        <f>F22*$B$17</f>
        <v>36</v>
      </c>
      <c r="F22" s="8">
        <f>IF(C22&lt;=3,C22*0.5,IF(C22&gt;3,0.5*3+(C22-3)*0.3))</f>
        <v>1.8</v>
      </c>
    </row>
    <row r="23" spans="1:6" x14ac:dyDescent="0.3">
      <c r="A23" s="57" t="s">
        <v>112</v>
      </c>
      <c r="B23" s="19" t="s">
        <v>113</v>
      </c>
      <c r="C23" s="61">
        <v>1</v>
      </c>
      <c r="D23" s="21">
        <f t="shared" ref="D23:D25" si="0">F23*$B$17</f>
        <v>10</v>
      </c>
      <c r="F23" s="8">
        <f>IF(C23&lt;=3,C23*0.5,IF(C23&gt;3,0.5*3+(C23-3)*0.3))</f>
        <v>0.5</v>
      </c>
    </row>
    <row r="24" spans="1:6" x14ac:dyDescent="0.3">
      <c r="A24" s="57" t="s">
        <v>114</v>
      </c>
      <c r="B24" s="19" t="s">
        <v>115</v>
      </c>
      <c r="C24" s="61">
        <v>3</v>
      </c>
      <c r="D24" s="21">
        <f t="shared" si="0"/>
        <v>30</v>
      </c>
      <c r="F24" s="8">
        <f>IF(C24&lt;=3,C24*0.5,IF(C24&gt;3,0.5*3+(C24-3)*0.3))</f>
        <v>1.5</v>
      </c>
    </row>
    <row r="25" spans="1:6" ht="15" thickBot="1" x14ac:dyDescent="0.35">
      <c r="A25" s="22" t="s">
        <v>116</v>
      </c>
      <c r="B25" s="23" t="s">
        <v>117</v>
      </c>
      <c r="C25" s="25">
        <v>2</v>
      </c>
      <c r="D25" s="24">
        <f t="shared" si="0"/>
        <v>20</v>
      </c>
      <c r="F25" s="8">
        <f>IF(C25&lt;=3,C25*0.5,IF(C25&gt;3,0.5*3+(C25-3)*0.3))</f>
        <v>1</v>
      </c>
    </row>
    <row r="27" spans="1:6" x14ac:dyDescent="0.3">
      <c r="A27" s="64" t="s">
        <v>118</v>
      </c>
      <c r="B27" s="65"/>
      <c r="C27" s="65"/>
      <c r="D27" s="65">
        <f>SUM(D22:D25)</f>
        <v>96</v>
      </c>
    </row>
  </sheetData>
  <mergeCells count="1">
    <mergeCell ref="A11:F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1C14-ABEB-4957-A67A-A05E075057D0}">
  <dimension ref="A12:N22"/>
  <sheetViews>
    <sheetView topLeftCell="A16" zoomScale="98" workbookViewId="0">
      <selection activeCell="U25" sqref="U25"/>
    </sheetView>
  </sheetViews>
  <sheetFormatPr defaultRowHeight="14.4" x14ac:dyDescent="0.3"/>
  <cols>
    <col min="1" max="1" width="33.44140625" bestFit="1" customWidth="1"/>
    <col min="2" max="9" width="10.77734375" bestFit="1" customWidth="1"/>
    <col min="10" max="13" width="11.77734375" bestFit="1" customWidth="1"/>
    <col min="14" max="14" width="13.33203125" bestFit="1" customWidth="1"/>
  </cols>
  <sheetData>
    <row r="12" spans="1:14" ht="18" x14ac:dyDescent="0.35">
      <c r="A12" s="86" t="s">
        <v>119</v>
      </c>
      <c r="B12" s="86"/>
      <c r="C12" s="86"/>
      <c r="D12" s="86"/>
    </row>
    <row r="15" spans="1:14" x14ac:dyDescent="0.3"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120</v>
      </c>
      <c r="J15" s="3" t="s">
        <v>23</v>
      </c>
      <c r="K15" s="3" t="s">
        <v>24</v>
      </c>
      <c r="L15" s="3" t="s">
        <v>25</v>
      </c>
      <c r="M15" s="3" t="s">
        <v>26</v>
      </c>
      <c r="N15" s="66" t="s">
        <v>121</v>
      </c>
    </row>
    <row r="16" spans="1:14" x14ac:dyDescent="0.3">
      <c r="A16" s="66" t="s">
        <v>122</v>
      </c>
      <c r="B16" s="3">
        <v>-1.1000000000000001</v>
      </c>
      <c r="C16" s="3">
        <v>1.4</v>
      </c>
      <c r="D16" s="3">
        <v>5.4</v>
      </c>
      <c r="E16" s="3">
        <v>9.9</v>
      </c>
      <c r="F16" s="3">
        <v>14.6</v>
      </c>
      <c r="G16" s="3">
        <v>17.8</v>
      </c>
      <c r="H16" s="3">
        <v>19.899999999999999</v>
      </c>
      <c r="I16" s="3">
        <v>19.100000000000001</v>
      </c>
      <c r="J16" s="3">
        <v>15.5</v>
      </c>
      <c r="K16" s="3">
        <v>10.4</v>
      </c>
      <c r="L16" s="3">
        <v>4.5999999999999996</v>
      </c>
      <c r="M16" s="3">
        <v>0</v>
      </c>
      <c r="N16" s="67">
        <f>AVERAGE(B16:M16)</f>
        <v>9.7916666666666661</v>
      </c>
    </row>
    <row r="17" spans="1:14" x14ac:dyDescent="0.3">
      <c r="A17" s="66" t="s">
        <v>123</v>
      </c>
      <c r="B17" s="3">
        <v>2</v>
      </c>
      <c r="C17" s="3">
        <v>5.5</v>
      </c>
      <c r="D17" s="3">
        <v>10.4</v>
      </c>
      <c r="E17" s="3">
        <v>15.4</v>
      </c>
      <c r="F17" s="3">
        <v>20.399999999999999</v>
      </c>
      <c r="G17" s="3">
        <v>23.6</v>
      </c>
      <c r="H17" s="3">
        <v>26.1</v>
      </c>
      <c r="I17" s="3">
        <v>25.4</v>
      </c>
      <c r="J17" s="3">
        <v>21.6</v>
      </c>
      <c r="K17" s="3">
        <v>15.8</v>
      </c>
      <c r="L17" s="3">
        <v>8.1999999999999993</v>
      </c>
      <c r="M17" s="3">
        <v>2.6</v>
      </c>
      <c r="N17" s="67">
        <f t="shared" ref="N17:N18" si="0">AVERAGE(B17:M17)</f>
        <v>14.75</v>
      </c>
    </row>
    <row r="18" spans="1:14" x14ac:dyDescent="0.3">
      <c r="A18" s="66" t="s">
        <v>124</v>
      </c>
      <c r="B18" s="3">
        <v>-3.8</v>
      </c>
      <c r="C18" s="3">
        <v>-2</v>
      </c>
      <c r="D18" s="3">
        <v>0.9</v>
      </c>
      <c r="E18" s="3">
        <v>4.7</v>
      </c>
      <c r="F18" s="3">
        <v>9</v>
      </c>
      <c r="G18" s="3">
        <v>12.4</v>
      </c>
      <c r="H18" s="3">
        <v>14.1</v>
      </c>
      <c r="I18" s="3">
        <v>13.8</v>
      </c>
      <c r="J18" s="3">
        <v>10.9</v>
      </c>
      <c r="K18" s="3">
        <v>6.5</v>
      </c>
      <c r="L18" s="3">
        <v>1.7</v>
      </c>
      <c r="M18" s="3">
        <v>-2.2999999999999998</v>
      </c>
      <c r="N18" s="67">
        <f t="shared" si="0"/>
        <v>5.4916666666666671</v>
      </c>
    </row>
    <row r="19" spans="1:14" x14ac:dyDescent="0.3">
      <c r="A19" s="66" t="s">
        <v>125</v>
      </c>
      <c r="B19" s="3">
        <v>14.8</v>
      </c>
      <c r="C19" s="3">
        <v>18.899999999999999</v>
      </c>
      <c r="D19" s="3">
        <v>24.6</v>
      </c>
      <c r="E19" s="3">
        <v>29.3</v>
      </c>
      <c r="F19" s="3">
        <v>31.1</v>
      </c>
      <c r="G19" s="3">
        <v>34.700000000000003</v>
      </c>
      <c r="H19" s="3">
        <v>37.1</v>
      </c>
      <c r="I19" s="3">
        <v>36.5</v>
      </c>
      <c r="J19" s="3">
        <v>31.5</v>
      </c>
      <c r="K19" s="3">
        <v>26.9</v>
      </c>
      <c r="L19" s="3">
        <v>21.9</v>
      </c>
      <c r="M19" s="3">
        <v>16.7</v>
      </c>
      <c r="N19" s="67">
        <f>MAX(B19:M19)</f>
        <v>37.1</v>
      </c>
    </row>
    <row r="20" spans="1:14" x14ac:dyDescent="0.3">
      <c r="A20" s="66" t="s">
        <v>126</v>
      </c>
      <c r="B20" s="3">
        <v>-20.3</v>
      </c>
      <c r="C20" s="3">
        <v>-18</v>
      </c>
      <c r="D20" s="3">
        <v>-18.2</v>
      </c>
      <c r="E20" s="3">
        <v>-3.6</v>
      </c>
      <c r="F20" s="3">
        <v>-1.2</v>
      </c>
      <c r="G20" s="3">
        <v>2.7</v>
      </c>
      <c r="H20" s="3">
        <v>5.8</v>
      </c>
      <c r="I20" s="3">
        <v>4.5</v>
      </c>
      <c r="J20" s="3">
        <v>-0.6</v>
      </c>
      <c r="K20" s="3">
        <v>-5.4</v>
      </c>
      <c r="L20" s="3">
        <v>-14.5</v>
      </c>
      <c r="M20" s="3">
        <v>-16.7</v>
      </c>
      <c r="N20" s="67">
        <f>MIN(B20:M20)</f>
        <v>-20.3</v>
      </c>
    </row>
    <row r="21" spans="1:14" x14ac:dyDescent="0.3">
      <c r="A21" s="66" t="s">
        <v>127</v>
      </c>
      <c r="B21" s="3">
        <v>23.7</v>
      </c>
      <c r="C21" s="3">
        <v>18.2</v>
      </c>
      <c r="D21" s="3">
        <v>11.5</v>
      </c>
      <c r="E21" s="3">
        <v>2.1</v>
      </c>
      <c r="F21" s="3">
        <v>0.1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10.5</v>
      </c>
      <c r="M21" s="3">
        <v>21.3</v>
      </c>
      <c r="N21" s="67">
        <f>SUM(B21:M21)</f>
        <v>89.399999999999991</v>
      </c>
    </row>
    <row r="22" spans="1:14" x14ac:dyDescent="0.3">
      <c r="A22" s="66" t="s">
        <v>128</v>
      </c>
      <c r="B22" s="3">
        <v>0</v>
      </c>
      <c r="C22" s="3">
        <v>0</v>
      </c>
      <c r="D22" s="3">
        <v>0</v>
      </c>
      <c r="E22" s="3">
        <v>0.6</v>
      </c>
      <c r="F22" s="3">
        <v>4.7</v>
      </c>
      <c r="G22" s="3">
        <v>12.2</v>
      </c>
      <c r="H22" s="3">
        <v>19.600000000000001</v>
      </c>
      <c r="I22" s="3">
        <v>16.899999999999999</v>
      </c>
      <c r="J22" s="3">
        <v>6.3</v>
      </c>
      <c r="K22" s="3">
        <v>0.3</v>
      </c>
      <c r="L22" s="3">
        <v>0</v>
      </c>
      <c r="M22" s="3">
        <v>0</v>
      </c>
      <c r="N22" s="67">
        <f>SUM(B22:M22)</f>
        <v>60.599999999999994</v>
      </c>
    </row>
  </sheetData>
  <mergeCells count="1">
    <mergeCell ref="A12:D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97C57B-81E4-4D4E-8ECC-6A1B29149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Obresti</vt:lpstr>
      <vt:lpstr>Barva</vt:lpstr>
      <vt:lpstr>Množenje</vt:lpstr>
      <vt:lpstr>Padavine</vt:lpstr>
      <vt:lpstr>kolokviji </vt:lpstr>
      <vt:lpstr>Sladoled </vt:lpstr>
      <vt:lpstr>Honorar 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Anže Pintar</dc:creator>
  <cp:lastModifiedBy>Anže Pintar</cp:lastModifiedBy>
  <dcterms:created xsi:type="dcterms:W3CDTF">2024-12-17T17:22:29Z</dcterms:created>
  <dcterms:modified xsi:type="dcterms:W3CDTF">2024-12-29T17:44:49Z</dcterms:modified>
</cp:coreProperties>
</file>