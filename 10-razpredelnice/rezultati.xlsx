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a3487edbc2a9/Desktop/RPAP5/10-razpredelnice/"/>
    </mc:Choice>
  </mc:AlternateContent>
  <xr:revisionPtr revIDLastSave="12" documentId="13_ncr:1_{1400219B-57C8-4868-B0E0-91F282004961}" xr6:coauthVersionLast="47" xr6:coauthVersionMax="47" xr10:uidLastSave="{F7351563-6DC3-473C-9428-669B87617DE9}"/>
  <bookViews>
    <workbookView xWindow="-96" yWindow="0" windowWidth="11712" windowHeight="12336" xr2:uid="{00000000-000D-0000-FFFF-FFFF00000000}"/>
  </bookViews>
  <sheets>
    <sheet name="Rezultati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J4" i="1"/>
  <c r="J3" i="1"/>
  <c r="N3" i="1"/>
  <c r="N4" i="1"/>
  <c r="N5" i="1"/>
  <c r="M3" i="1"/>
  <c r="M4" i="1"/>
  <c r="M5" i="1"/>
  <c r="K4" i="1"/>
  <c r="K5" i="1"/>
  <c r="J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<sst xmlns="http://schemas.openxmlformats.org/spreadsheetml/2006/main" count="107" uniqueCount="73">
  <si>
    <t>Priimek</t>
  </si>
  <si>
    <t>Ime</t>
  </si>
  <si>
    <t>Skupina</t>
  </si>
  <si>
    <t>Točke</t>
  </si>
  <si>
    <t>Opravil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</si>
  <si>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</si>
  <si>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</si>
  <si>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</si>
  <si>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</si>
  <si>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</si>
  <si>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</si>
  <si>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</si>
  <si>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</si>
  <si>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</si>
  <si>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</si>
  <si>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</si>
  <si>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</si>
  <si>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</si>
  <si>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</si>
  <si>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</si>
  <si>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</si>
  <si>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</si>
  <si>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</si>
  <si>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</si>
  <si>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</si>
  <si>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</si>
  <si>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</si>
  <si>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</si>
  <si>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</si>
  <si>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</si>
  <si>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</si>
  <si>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</si>
  <si>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</si>
  <si>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</si>
  <si>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</si>
  <si>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</si>
  <si>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</si>
  <si>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</si>
  <si>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</si>
  <si>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</si>
  <si>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</si>
  <si>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</si>
  <si>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</si>
  <si>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</si>
  <si>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</si>
  <si>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</si>
  <si>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</si>
  <si>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</si>
  <si>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</si>
  <si>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</si>
  <si>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</si>
  <si>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</si>
  <si>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</si>
  <si>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</si>
  <si>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</si>
  <si>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</si>
  <si>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</si>
  <si>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</si>
  <si>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</si>
  <si>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</si>
  <si>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</si>
  <si>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</si>
  <si>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</si>
  <si>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</si>
  <si>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</si>
  <si>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</si>
  <si>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maksimum</t>
  </si>
  <si>
    <t>minimum</t>
  </si>
  <si>
    <t xml:space="preserve">Udeležba  </t>
  </si>
  <si>
    <t xml:space="preserve"> 2022</t>
  </si>
  <si>
    <t xml:space="preserve"> 2021</t>
  </si>
  <si>
    <t xml:space="preserve"> maksimum</t>
  </si>
  <si>
    <t xml:space="preserve">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</si>
</sst>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Velikost</a:t>
            </a:r>
            <a:r>
              <a:rPr lang="en-GB" baseline="0"/>
              <a:t>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'Rezultati'!$J$2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1D-4130-9711-30AF8FC185A7}"/>
              </c:ext>
            </c:extLst>
          </c:dPt>
          <c:dPt>
            <c:idx val="1"/>
            <c:bubble3D val="0"/>
            <c:explosion val="2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61D-4130-9711-30AF8FC185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1D-4130-9711-30AF8FC185A7}"/>
              </c:ext>
            </c:extLst>
          </c:dPt>
          <c:dLbls>
            <c:dLbl>
              <c:idx val="0"/>
              <c:layout>
                <c:manualLayout>
                  <c:x val="-1.9568678915135609E-2"/>
                  <c:y val="-3.65296004666083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1D-4130-9711-30AF8FC185A7}"/>
                </c:ext>
              </c:extLst>
            </c:dLbl>
            <c:dLbl>
              <c:idx val="1"/>
              <c:layout>
                <c:manualLayout>
                  <c:x val="-1.2193788276465441E-2"/>
                  <c:y val="3.3100029163021289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1D-4130-9711-30AF8FC185A7}"/>
                </c:ext>
              </c:extLst>
            </c:dLbl>
            <c:dLbl>
              <c:idx val="2"/>
              <c:layout>
                <c:manualLayout>
                  <c:x val="2.3592519685039372E-2"/>
                  <c:y val="-3.63050452026829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1D-4130-9711-30AF8FC185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D-4130-9711-30AF8FC185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12</xdr:row>
      <xdr:rowOff>163830</xdr:rowOff>
    </xdr:from>
    <xdr:to>
      <xdr:col>15</xdr:col>
      <xdr:colOff>403860</xdr:colOff>
      <xdr:row>27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F0FDF-6BB9-D422-BB1C-9117A68F9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ze.pintar" refreshedDate="45646.629984027779" createdVersion="8" refreshedVersion="8" minRefreshableVersion="3" recordCount="3" xr:uid="{F65B1319-9D1F-4902-8FAB-384E8756578A}">
  <cacheSource type="worksheet">
    <worksheetSource name="Skupine"/>
  </cacheSource>
  <cacheFields count="6">
    <cacheField name="Skupina" numFmtId="0">
      <sharedItems count="3">
        <s v="A"/>
        <s v="B"/>
        <s v="C"/>
      </sharedItems>
    </cacheField>
    <cacheField name="Udeležba" numFmtId="0">
      <sharedItems containsSemiMixedTypes="0" containsString="0" containsNumber="1" containsInteger="1" minValue="7" maxValue="12"/>
    </cacheField>
    <cacheField name="2022" numFmtId="2">
      <sharedItems containsSemiMixedTypes="0" containsString="0" containsNumber="1" minValue="47.714285714285715" maxValue="66.5"/>
    </cacheField>
    <cacheField name="2021" numFmtId="0">
      <sharedItems containsSemiMixedTypes="0" containsString="0" containsNumber="1" minValue="49.66" maxValue="66.84"/>
    </cacheField>
    <cacheField name="maksimum" numFmtId="0">
      <sharedItems containsSemiMixedTypes="0" containsString="0" containsNumber="1" containsInteger="1" minValue="76" maxValue="100"/>
    </cacheField>
    <cacheField name="minimum" numFmtId="0">
      <sharedItems containsSemiMixedTypes="0" containsString="0" containsNumber="1" containsInteger="1" minValue="26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"/>
    <n v="58.222222222222221"/>
    <n v="66.84"/>
    <n v="94"/>
    <n v="34"/>
  </r>
  <r>
    <x v="1"/>
    <n v="12"/>
    <n v="66.5"/>
    <n v="52.35"/>
    <n v="100"/>
    <n v="36"/>
  </r>
  <r>
    <x v="2"/>
    <n v="7"/>
    <n v="47.714285714285715"/>
    <n v="49.66"/>
    <n v="76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BD91A-7718-4835-8493-BA4373F5344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8:P11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2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Udeležba  " fld="1" baseField="0" baseItem="0"/>
    <dataField name=" 2022" fld="2" baseField="0" baseItem="0" numFmtId="2"/>
    <dataField name=" 2021" fld="3" baseField="0" baseItem="0"/>
    <dataField name=" maksimum" fld="4" baseField="0" baseItem="0"/>
    <dataField name=" minimum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:B30"/>
    <sortCondition ref="C3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 dataDxfId="0"/>
    <tableColumn id="4" xr3:uid="{D7BCD06B-AAB1-E14C-9780-EB9AFE9CDDAF}" name="Točke"/>
    <tableColumn id="5" xr3:uid="{A572DA5B-37ED-FF49-A08A-839E55F45206}" name="Opravil">
      <calculatedColumnFormula>IF(E3&gt;=50,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I2:N5" totalsRowShown="0">
  <autoFilter ref="I2:N5" xr:uid="{BAD53C94-4DD0-B043-8002-9273766F5DC7}"/>
  <tableColumns count="6">
    <tableColumn id="1" xr3:uid="{26F1C940-A3E1-AA4A-B91A-EA859D7A62AD}" name="Skupina"/>
    <tableColumn id="2" xr3:uid="{EA7356A2-0D38-5D42-A1AC-E30DC5D5C796}" name="Udeležba" dataDxfId="8">
      <calculatedColumnFormula>COUNTIF(Rezultati[Skupina], Skupine[[#This Row],[Skupina]])</calculatedColumnFormula>
    </tableColumn>
    <tableColumn id="3" xr3:uid="{49F9352C-9597-4E44-8122-AF1CE6CE856F}" name="2022" dataDxfId="7">
      <calculatedColumnFormula>AVERAGEIF(Rezultati[Skupina],Skupine[[#This Row],[Skupina]],Rezultati[Točke])</calculatedColumnFormula>
    </tableColumn>
    <tableColumn id="4" xr3:uid="{B0EFA30B-7FCE-C547-8EC0-FF89353D2666}" name="2021"/>
    <tableColumn id="5" xr3:uid="{1A0EDB27-1CEE-4047-A2BE-5C526B004C86}" name="maksimum" dataDxfId="6">
      <calculatedColumnFormula>_xlfn.MAXIFS(Rezultati[Točke],Rezultati[Skupina],Skupine[[#This Row],[Skupina]])</calculatedColumnFormula>
    </tableColumn>
    <tableColumn id="6" xr3:uid="{E3113D33-40E8-4CF3-BC1D-9E976ED0D981}" name="minimum" dataDxfId="5">
      <calculatedColumnFormula>_xlfn.MINIFS(Rezultati[Točke],Rezultati[Skupina],Skupine[[#This Row],[Skupina]])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0"/>
  <sheetViews>
    <sheetView tabSelected="1" zoomScaleNormal="100" workbookViewId="0">
      <selection activeCell="H12" sqref="H12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9" max="9" width="15.5546875" bestFit="1" customWidth="1"/>
    <col min="10" max="10" width="11.6640625" customWidth="1"/>
    <col min="11" max="11" width="12.5546875" bestFit="1" customWidth="1"/>
    <col min="12" max="12" width="9.6640625" bestFit="1" customWidth="1"/>
    <col min="13" max="13" width="13.33203125" customWidth="1"/>
    <col min="14" max="14" width="14.44140625" customWidth="1"/>
    <col min="15" max="15" width="10.77734375" bestFit="1" customWidth="1"/>
    <col min="16" max="16" width="9.5546875" bestFit="1" customWidth="1"/>
    <col min="17" max="17" width="9.77734375" bestFit="1" customWidth="1"/>
    <col min="18" max="19" width="6" bestFit="1" customWidth="1"/>
    <col min="20" max="20" width="10.44140625" bestFit="1" customWidth="1"/>
    <col min="21" max="21" width="10.77734375" bestFit="1" customWidth="1"/>
    <col min="22" max="22" width="6" bestFit="1" customWidth="1"/>
    <col min="23" max="23" width="10.21875" bestFit="1" customWidth="1"/>
    <col min="24" max="24" width="10.77734375" bestFit="1" customWidth="1"/>
    <col min="25" max="25" width="7.6640625" bestFit="1" customWidth="1"/>
    <col min="26" max="26" width="10.77734375" bestFit="1" customWidth="1"/>
  </cols>
  <sheetData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2</v>
      </c>
      <c r="J2" t="s">
        <v>5</v>
      </c>
      <c r="K2" t="s">
        <v>64</v>
      </c>
      <c r="L2" t="s">
        <v>63</v>
      </c>
      <c r="M2" t="s">
        <v>66</v>
      </c>
      <c r="N2" t="s">
        <v>67</v>
      </c>
    </row>
    <row r="3" spans="2:16" x14ac:dyDescent="0.3">
      <c r="B3" t="s">
        <v>61</v>
      </c>
      <c r="C3" t="s">
        <v>62</v>
      </c>
      <c r="D3" s="4" t="s">
        <v>11</v>
      </c>
      <c r="E3">
        <v>38</v>
      </c>
      <c r="F3" t="str">
        <f>IF(E3&gt;=50, "da", "ne")</f>
        <v>ne</v>
      </c>
      <c r="I3" t="s">
        <v>8</v>
      </c>
      <c r="J3">
        <f>COUNTIF(Rezultati[Skupina], Skupine[[#This Row],[Skupina]])</f>
        <v>9</v>
      </c>
      <c r="K3" s="1">
        <f>AVERAGEIF(Rezultati[Skupina],Skupine[[#This Row],[Skupina]],Rezultati[Točke])</f>
        <v>58.222222222222221</v>
      </c>
      <c r="L3">
        <v>66.84</v>
      </c>
      <c r="M3">
        <f>_xlfn.MAXIFS(Rezultati[Točke],Rezultati[Skupina],Skupine[[#This Row],[Skupina]])</f>
        <v>94</v>
      </c>
      <c r="N3">
        <f>_xlfn.MINIFS(Rezultati[Točke],Rezultati[Skupina],Skupine[[#This Row],[Skupina]])</f>
        <v>34</v>
      </c>
    </row>
    <row r="4" spans="2:16" x14ac:dyDescent="0.3">
      <c r="B4" t="s">
        <v>33</v>
      </c>
      <c r="C4" t="s">
        <v>34</v>
      </c>
      <c r="D4" s="4" t="s">
        <v>11</v>
      </c>
      <c r="E4">
        <v>39</v>
      </c>
      <c r="F4" t="str">
        <f t="shared" ref="F4:F30" si="0">IF(E4&gt;=50, "da", "ne")</f>
        <v>ne</v>
      </c>
      <c r="I4" t="s">
        <v>11</v>
      </c>
      <c r="J4">
        <f>COUNTIF(Rezultati[Skupina], Skupine[[#This Row],[Skupina]])</f>
        <v>12</v>
      </c>
      <c r="K4" s="1">
        <f>AVERAGEIF(Rezultati[Skupina],Skupine[[#This Row],[Skupina]],Rezultati[Točke])</f>
        <v>66.5</v>
      </c>
      <c r="L4">
        <v>52.35</v>
      </c>
      <c r="M4">
        <f>_xlfn.MAXIFS(Rezultati[Točke],Rezultati[Skupina],Skupine[[#This Row],[Skupina]])</f>
        <v>100</v>
      </c>
      <c r="N4">
        <f>_xlfn.MINIFS(Rezultati[Točke],Rezultati[Skupina],Skupine[[#This Row],[Skupina]])</f>
        <v>36</v>
      </c>
    </row>
    <row r="5" spans="2:16" x14ac:dyDescent="0.3">
      <c r="B5" t="s">
        <v>6</v>
      </c>
      <c r="C5" t="s">
        <v>35</v>
      </c>
      <c r="D5" s="4" t="s">
        <v>11</v>
      </c>
      <c r="E5">
        <v>36</v>
      </c>
      <c r="F5" t="str">
        <f t="shared" si="0"/>
        <v>ne</v>
      </c>
      <c r="I5" t="s">
        <v>14</v>
      </c>
      <c r="J5">
        <f>COUNTIF(Rezultati[Skupina], Skupine[[#This Row],[Skupina]])</f>
        <v>7</v>
      </c>
      <c r="K5" s="1">
        <f>AVERAGEIF(Rezultati[Skupina],Skupine[[#This Row],[Skupina]],Rezultati[Točke])</f>
        <v>47.714285714285715</v>
      </c>
      <c r="L5">
        <v>49.66</v>
      </c>
      <c r="M5">
        <f>_xlfn.MAXIFS(Rezultati[Točke],Rezultati[Skupina],Skupine[[#This Row],[Skupina]])</f>
        <v>76</v>
      </c>
      <c r="N5">
        <f>_xlfn.MINIFS(Rezultati[Točke],Rezultati[Skupina],Skupine[[#This Row],[Skupina]])</f>
        <v>26</v>
      </c>
    </row>
    <row r="6" spans="2:16" x14ac:dyDescent="0.3">
      <c r="B6" t="s">
        <v>6</v>
      </c>
      <c r="C6" t="s">
        <v>7</v>
      </c>
      <c r="D6" s="4" t="s">
        <v>8</v>
      </c>
      <c r="E6">
        <v>93</v>
      </c>
      <c r="F6" t="str">
        <f t="shared" si="0"/>
        <v>da</v>
      </c>
    </row>
    <row r="7" spans="2:16" x14ac:dyDescent="0.3">
      <c r="B7" t="s">
        <v>36</v>
      </c>
      <c r="C7" t="s">
        <v>37</v>
      </c>
      <c r="D7" s="4" t="s">
        <v>8</v>
      </c>
      <c r="E7">
        <v>77</v>
      </c>
      <c r="F7" t="str">
        <f t="shared" si="0"/>
        <v>da</v>
      </c>
    </row>
    <row r="8" spans="2:16" x14ac:dyDescent="0.3">
      <c r="B8" t="s">
        <v>38</v>
      </c>
      <c r="C8" t="s">
        <v>39</v>
      </c>
      <c r="D8" s="4" t="s">
        <v>11</v>
      </c>
      <c r="E8">
        <v>100</v>
      </c>
      <c r="F8" t="str">
        <f t="shared" si="0"/>
        <v>da</v>
      </c>
      <c r="K8" s="2" t="s">
        <v>65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</row>
    <row r="9" spans="2:16" x14ac:dyDescent="0.3">
      <c r="B9" t="s">
        <v>9</v>
      </c>
      <c r="C9" t="s">
        <v>10</v>
      </c>
      <c r="D9" s="4" t="s">
        <v>8</v>
      </c>
      <c r="E9">
        <v>94</v>
      </c>
      <c r="F9" t="str">
        <f t="shared" si="0"/>
        <v>da</v>
      </c>
      <c r="K9" s="3" t="s">
        <v>8</v>
      </c>
      <c r="L9">
        <v>9</v>
      </c>
      <c r="M9" s="1">
        <v>58.222222222222221</v>
      </c>
      <c r="N9">
        <v>66.84</v>
      </c>
      <c r="O9">
        <v>94</v>
      </c>
      <c r="P9">
        <v>34</v>
      </c>
    </row>
    <row r="10" spans="2:16" x14ac:dyDescent="0.3">
      <c r="B10" t="s">
        <v>40</v>
      </c>
      <c r="C10" t="s">
        <v>41</v>
      </c>
      <c r="D10" s="4" t="s">
        <v>14</v>
      </c>
      <c r="E10">
        <v>26</v>
      </c>
      <c r="F10" t="str">
        <f t="shared" si="0"/>
        <v>ne</v>
      </c>
      <c r="K10" s="3" t="s">
        <v>11</v>
      </c>
      <c r="L10">
        <v>12</v>
      </c>
      <c r="M10" s="1">
        <v>66.5</v>
      </c>
      <c r="N10">
        <v>52.35</v>
      </c>
      <c r="O10">
        <v>100</v>
      </c>
      <c r="P10">
        <v>36</v>
      </c>
    </row>
    <row r="11" spans="2:16" x14ac:dyDescent="0.3">
      <c r="B11" t="s">
        <v>12</v>
      </c>
      <c r="C11" t="s">
        <v>13</v>
      </c>
      <c r="D11" s="4" t="s">
        <v>11</v>
      </c>
      <c r="E11">
        <v>44</v>
      </c>
      <c r="F11" t="str">
        <f t="shared" si="0"/>
        <v>ne</v>
      </c>
      <c r="K11" s="3" t="s">
        <v>14</v>
      </c>
      <c r="L11">
        <v>7</v>
      </c>
      <c r="M11" s="1">
        <v>47.714285714285715</v>
      </c>
      <c r="N11">
        <v>49.66</v>
      </c>
      <c r="O11">
        <v>76</v>
      </c>
      <c r="P11">
        <v>26</v>
      </c>
    </row>
    <row r="12" spans="2:16" x14ac:dyDescent="0.3">
      <c r="B12" t="s">
        <v>15</v>
      </c>
      <c r="C12" t="s">
        <v>16</v>
      </c>
      <c r="D12" s="4" t="s">
        <v>14</v>
      </c>
      <c r="E12">
        <v>34</v>
      </c>
      <c r="F12" t="str">
        <f t="shared" si="0"/>
        <v>ne</v>
      </c>
    </row>
    <row r="13" spans="2:16" x14ac:dyDescent="0.3">
      <c r="B13" t="s">
        <v>42</v>
      </c>
      <c r="C13" t="s">
        <v>43</v>
      </c>
      <c r="D13" s="4" t="s">
        <v>11</v>
      </c>
      <c r="E13">
        <v>86</v>
      </c>
      <c r="F13" t="str">
        <f t="shared" si="0"/>
        <v>da</v>
      </c>
    </row>
    <row r="14" spans="2:16" x14ac:dyDescent="0.3">
      <c r="B14" t="s">
        <v>44</v>
      </c>
      <c r="C14" t="s">
        <v>45</v>
      </c>
      <c r="D14" s="4" t="s">
        <v>11</v>
      </c>
      <c r="E14">
        <v>90</v>
      </c>
      <c r="F14" t="str">
        <f t="shared" si="0"/>
        <v>da</v>
      </c>
    </row>
    <row r="15" spans="2:16" x14ac:dyDescent="0.3">
      <c r="B15" t="s">
        <v>17</v>
      </c>
      <c r="C15" t="s">
        <v>18</v>
      </c>
      <c r="D15" s="4" t="s">
        <v>11</v>
      </c>
      <c r="E15">
        <v>67</v>
      </c>
      <c r="F15" t="str">
        <f t="shared" si="0"/>
        <v>da</v>
      </c>
    </row>
    <row r="16" spans="2:16" x14ac:dyDescent="0.3">
      <c r="B16" t="s">
        <v>19</v>
      </c>
      <c r="C16" t="s">
        <v>20</v>
      </c>
      <c r="D16" s="4" t="s">
        <v>8</v>
      </c>
      <c r="E16">
        <v>42</v>
      </c>
      <c r="F16" t="str">
        <f t="shared" si="0"/>
        <v>ne</v>
      </c>
    </row>
    <row r="17" spans="2:6" x14ac:dyDescent="0.3">
      <c r="B17" t="s">
        <v>46</v>
      </c>
      <c r="C17" t="s">
        <v>47</v>
      </c>
      <c r="D17" s="4" t="s">
        <v>14</v>
      </c>
      <c r="E17">
        <v>44</v>
      </c>
      <c r="F17" t="str">
        <f t="shared" si="0"/>
        <v>ne</v>
      </c>
    </row>
    <row r="18" spans="2:6" x14ac:dyDescent="0.3">
      <c r="B18" t="s">
        <v>21</v>
      </c>
      <c r="C18" t="s">
        <v>22</v>
      </c>
      <c r="D18" s="4" t="s">
        <v>11</v>
      </c>
      <c r="E18">
        <v>64</v>
      </c>
      <c r="F18" t="str">
        <f t="shared" si="0"/>
        <v>da</v>
      </c>
    </row>
    <row r="19" spans="2:6" x14ac:dyDescent="0.3">
      <c r="B19" t="s">
        <v>23</v>
      </c>
      <c r="C19" t="s">
        <v>24</v>
      </c>
      <c r="D19" s="4" t="s">
        <v>14</v>
      </c>
      <c r="E19">
        <v>30</v>
      </c>
      <c r="F19" t="str">
        <f t="shared" si="0"/>
        <v>ne</v>
      </c>
    </row>
    <row r="20" spans="2:6" x14ac:dyDescent="0.3">
      <c r="B20" t="s">
        <v>48</v>
      </c>
      <c r="C20" t="s">
        <v>28</v>
      </c>
      <c r="D20" s="4" t="s">
        <v>8</v>
      </c>
      <c r="E20">
        <v>57</v>
      </c>
      <c r="F20" t="str">
        <f t="shared" si="0"/>
        <v>da</v>
      </c>
    </row>
    <row r="21" spans="2:6" x14ac:dyDescent="0.3">
      <c r="B21" t="s">
        <v>49</v>
      </c>
      <c r="C21" t="s">
        <v>50</v>
      </c>
      <c r="D21" s="4" t="s">
        <v>8</v>
      </c>
      <c r="E21">
        <v>43</v>
      </c>
      <c r="F21" t="str">
        <f t="shared" si="0"/>
        <v>ne</v>
      </c>
    </row>
    <row r="22" spans="2:6" x14ac:dyDescent="0.3">
      <c r="B22" t="s">
        <v>59</v>
      </c>
      <c r="C22" t="s">
        <v>60</v>
      </c>
      <c r="D22" s="4" t="s">
        <v>8</v>
      </c>
      <c r="E22">
        <v>38</v>
      </c>
      <c r="F22" t="str">
        <f t="shared" si="0"/>
        <v>ne</v>
      </c>
    </row>
    <row r="23" spans="2:6" x14ac:dyDescent="0.3">
      <c r="B23" t="s">
        <v>51</v>
      </c>
      <c r="C23" t="s">
        <v>52</v>
      </c>
      <c r="D23" s="4" t="s">
        <v>11</v>
      </c>
      <c r="E23">
        <v>85</v>
      </c>
      <c r="F23" t="str">
        <f t="shared" si="0"/>
        <v>da</v>
      </c>
    </row>
    <row r="24" spans="2:6" x14ac:dyDescent="0.3">
      <c r="B24" t="s">
        <v>53</v>
      </c>
      <c r="C24" t="s">
        <v>54</v>
      </c>
      <c r="D24" s="4" t="s">
        <v>14</v>
      </c>
      <c r="E24">
        <v>76</v>
      </c>
      <c r="F24" t="str">
        <f t="shared" si="0"/>
        <v>da</v>
      </c>
    </row>
    <row r="25" spans="2:6" x14ac:dyDescent="0.3">
      <c r="B25" t="s">
        <v>55</v>
      </c>
      <c r="C25" t="s">
        <v>56</v>
      </c>
      <c r="D25" s="4" t="s">
        <v>8</v>
      </c>
      <c r="E25">
        <v>34</v>
      </c>
      <c r="F25" t="str">
        <f t="shared" si="0"/>
        <v>ne</v>
      </c>
    </row>
    <row r="26" spans="2:6" x14ac:dyDescent="0.3">
      <c r="B26" t="s">
        <v>57</v>
      </c>
      <c r="C26" t="s">
        <v>58</v>
      </c>
      <c r="D26" s="4" t="s">
        <v>11</v>
      </c>
      <c r="E26">
        <v>79</v>
      </c>
      <c r="F26" t="str">
        <f t="shared" si="0"/>
        <v>da</v>
      </c>
    </row>
    <row r="27" spans="2:6" x14ac:dyDescent="0.3">
      <c r="B27" t="s">
        <v>25</v>
      </c>
      <c r="C27" t="s">
        <v>26</v>
      </c>
      <c r="D27" s="4" t="s">
        <v>11</v>
      </c>
      <c r="E27">
        <v>70</v>
      </c>
      <c r="F27" t="str">
        <f t="shared" si="0"/>
        <v>da</v>
      </c>
    </row>
    <row r="28" spans="2:6" x14ac:dyDescent="0.3">
      <c r="B28" t="s">
        <v>29</v>
      </c>
      <c r="C28" t="s">
        <v>30</v>
      </c>
      <c r="D28" s="4" t="s">
        <v>14</v>
      </c>
      <c r="E28">
        <v>66</v>
      </c>
      <c r="F28" t="str">
        <f t="shared" si="0"/>
        <v>da</v>
      </c>
    </row>
    <row r="29" spans="2:6" x14ac:dyDescent="0.3">
      <c r="B29" t="s">
        <v>27</v>
      </c>
      <c r="C29" t="s">
        <v>28</v>
      </c>
      <c r="D29" s="4" t="s">
        <v>14</v>
      </c>
      <c r="E29">
        <v>58</v>
      </c>
      <c r="F29" t="str">
        <f t="shared" si="0"/>
        <v>da</v>
      </c>
    </row>
    <row r="30" spans="2:6" x14ac:dyDescent="0.3">
      <c r="B30" t="s">
        <v>31</v>
      </c>
      <c r="C30" t="s">
        <v>32</v>
      </c>
      <c r="D30" s="4" t="s">
        <v>8</v>
      </c>
      <c r="E30">
        <v>46</v>
      </c>
      <c r="F30" t="str">
        <f t="shared" si="0"/>
        <v>ne</v>
      </c>
    </row>
  </sheetData>
  <conditionalFormatting sqref="B4">
    <cfRule type="expression" dxfId="4" priority="3">
      <formula>B4&lt;50</formula>
    </cfRule>
  </conditionalFormatting>
  <conditionalFormatting sqref="B3:C30 E3:E30">
    <cfRule type="expression" dxfId="3" priority="4">
      <formula>B3&lt;50</formula>
    </cfRule>
  </conditionalFormatting>
  <conditionalFormatting sqref="B3:C30">
    <cfRule type="expression" dxfId="2" priority="2">
      <formula>E3&lt;50</formula>
    </cfRule>
  </conditionalFormatting>
  <conditionalFormatting sqref="C3:C30">
    <cfRule type="expression" dxfId="1" priority="1">
      <formula>E3&lt;50</formula>
    </cfRule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Anže Pintar</cp:lastModifiedBy>
  <dcterms:created xsi:type="dcterms:W3CDTF">2007-11-10T02:36:44Z</dcterms:created>
  <dcterms:modified xsi:type="dcterms:W3CDTF">2024-12-29T13:36:21Z</dcterms:modified>
</cp:coreProperties>
</file>