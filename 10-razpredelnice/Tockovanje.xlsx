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44a3487edbc2a9/Desktop/RPAP5/10-razpredelnice/"/>
    </mc:Choice>
  </mc:AlternateContent>
  <xr:revisionPtr revIDLastSave="1" documentId="8_{D759396C-75D3-49EC-9845-DAF7C56F4127}" xr6:coauthVersionLast="47" xr6:coauthVersionMax="47" xr10:uidLastSave="{CAC13582-8B52-4711-8EB7-6DFFCF978B0D}"/>
  <bookViews>
    <workbookView xWindow="-108" yWindow="-108" windowWidth="23256" windowHeight="12456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6" i="1"/>
  <c r="N45" i="1" l="1"/>
  <c r="D43" i="1"/>
  <c r="C43" i="1"/>
  <c r="D24" i="1"/>
  <c r="C24" i="1"/>
  <c r="D14" i="1"/>
  <c r="D45" i="1" s="1"/>
  <c r="C14" i="1"/>
  <c r="C45" i="1" s="1"/>
  <c r="AM15" i="1"/>
  <c r="AM16" i="1"/>
  <c r="AM17" i="1"/>
  <c r="AM18" i="1"/>
  <c r="AM19" i="1"/>
  <c r="AM20" i="1"/>
  <c r="AM21" i="1"/>
  <c r="AM22" i="1"/>
  <c r="AM23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L15" i="1"/>
  <c r="AL16" i="1"/>
  <c r="AL17" i="1"/>
  <c r="AL18" i="1"/>
  <c r="AL19" i="1"/>
  <c r="AL20" i="1"/>
  <c r="AL21" i="1"/>
  <c r="AL22" i="1"/>
  <c r="AL23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K15" i="1"/>
  <c r="AK16" i="1"/>
  <c r="AK17" i="1"/>
  <c r="AK18" i="1"/>
  <c r="AK19" i="1"/>
  <c r="AK20" i="1"/>
  <c r="AK21" i="1"/>
  <c r="AK22" i="1"/>
  <c r="AK23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J15" i="1"/>
  <c r="AJ16" i="1"/>
  <c r="AJ17" i="1"/>
  <c r="AJ18" i="1"/>
  <c r="AJ19" i="1"/>
  <c r="AJ20" i="1"/>
  <c r="AJ21" i="1"/>
  <c r="AJ22" i="1"/>
  <c r="AJ23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I15" i="1"/>
  <c r="AI16" i="1"/>
  <c r="AI17" i="1"/>
  <c r="AI18" i="1"/>
  <c r="AI19" i="1"/>
  <c r="AI20" i="1"/>
  <c r="AI21" i="1"/>
  <c r="AI22" i="1"/>
  <c r="AI23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H15" i="1"/>
  <c r="AH16" i="1"/>
  <c r="AH17" i="1"/>
  <c r="AH18" i="1"/>
  <c r="AH19" i="1"/>
  <c r="AH20" i="1"/>
  <c r="AH21" i="1"/>
  <c r="AH22" i="1"/>
  <c r="AH23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G42" i="1"/>
  <c r="AG15" i="1"/>
  <c r="AG16" i="1"/>
  <c r="AG17" i="1"/>
  <c r="AG18" i="1"/>
  <c r="AG19" i="1"/>
  <c r="AG20" i="1"/>
  <c r="AG21" i="1"/>
  <c r="AG22" i="1"/>
  <c r="AG23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F15" i="1"/>
  <c r="AF16" i="1"/>
  <c r="AF17" i="1"/>
  <c r="AF18" i="1"/>
  <c r="AF19" i="1"/>
  <c r="AF20" i="1"/>
  <c r="AF21" i="1"/>
  <c r="AF22" i="1"/>
  <c r="AF23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E15" i="1"/>
  <c r="AE16" i="1"/>
  <c r="AE17" i="1"/>
  <c r="AE18" i="1"/>
  <c r="AE19" i="1"/>
  <c r="AE20" i="1"/>
  <c r="AE21" i="1"/>
  <c r="AE22" i="1"/>
  <c r="AE23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D15" i="1"/>
  <c r="AD16" i="1"/>
  <c r="AD17" i="1"/>
  <c r="AD18" i="1"/>
  <c r="AD19" i="1"/>
  <c r="AD20" i="1"/>
  <c r="AD21" i="1"/>
  <c r="AD22" i="1"/>
  <c r="AD23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C15" i="1"/>
  <c r="AC16" i="1"/>
  <c r="AC17" i="1"/>
  <c r="AC18" i="1"/>
  <c r="AC19" i="1"/>
  <c r="AC20" i="1"/>
  <c r="AC21" i="1"/>
  <c r="AC22" i="1"/>
  <c r="AC23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B15" i="1"/>
  <c r="AB16" i="1"/>
  <c r="AB17" i="1"/>
  <c r="AB18" i="1"/>
  <c r="AB19" i="1"/>
  <c r="AB20" i="1"/>
  <c r="AB21" i="1"/>
  <c r="AB22" i="1"/>
  <c r="AB23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Z6" i="1"/>
  <c r="Z7" i="1"/>
  <c r="Z8" i="1"/>
  <c r="Z9" i="1"/>
  <c r="Z10" i="1"/>
  <c r="Z11" i="1"/>
  <c r="Z12" i="1"/>
  <c r="Z13" i="1"/>
  <c r="Z16" i="1"/>
  <c r="Z17" i="1"/>
  <c r="Z18" i="1"/>
  <c r="Z19" i="1"/>
  <c r="Z20" i="1"/>
  <c r="Z21" i="1"/>
  <c r="Z22" i="1"/>
  <c r="Z23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5" i="1"/>
  <c r="AA15" i="1"/>
  <c r="AA16" i="1"/>
  <c r="AA17" i="1"/>
  <c r="AA18" i="1"/>
  <c r="AA19" i="1"/>
  <c r="AA20" i="1"/>
  <c r="AA21" i="1"/>
  <c r="AA22" i="1"/>
  <c r="AA23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M6" i="1"/>
  <c r="AM7" i="1"/>
  <c r="AM8" i="1"/>
  <c r="AM9" i="1"/>
  <c r="AM10" i="1"/>
  <c r="AM11" i="1"/>
  <c r="AM12" i="1"/>
  <c r="AM13" i="1"/>
  <c r="AL6" i="1"/>
  <c r="AL7" i="1"/>
  <c r="AL8" i="1"/>
  <c r="AL9" i="1"/>
  <c r="AL10" i="1"/>
  <c r="AL11" i="1"/>
  <c r="AL12" i="1"/>
  <c r="AL13" i="1"/>
  <c r="AK6" i="1"/>
  <c r="AK7" i="1"/>
  <c r="AK8" i="1"/>
  <c r="AK9" i="1"/>
  <c r="AK10" i="1"/>
  <c r="AK11" i="1"/>
  <c r="AK12" i="1"/>
  <c r="AK13" i="1"/>
  <c r="AJ6" i="1"/>
  <c r="AJ7" i="1"/>
  <c r="AJ8" i="1"/>
  <c r="AJ9" i="1"/>
  <c r="AJ10" i="1"/>
  <c r="AJ11" i="1"/>
  <c r="AJ12" i="1"/>
  <c r="AJ13" i="1"/>
  <c r="AI6" i="1"/>
  <c r="AI7" i="1"/>
  <c r="AI8" i="1"/>
  <c r="AI9" i="1"/>
  <c r="AI10" i="1"/>
  <c r="AI11" i="1"/>
  <c r="AI12" i="1"/>
  <c r="AI13" i="1"/>
  <c r="AH6" i="1"/>
  <c r="AH7" i="1"/>
  <c r="AH8" i="1"/>
  <c r="AH9" i="1"/>
  <c r="AH10" i="1"/>
  <c r="AH11" i="1"/>
  <c r="AH12" i="1"/>
  <c r="AH13" i="1"/>
  <c r="AG6" i="1"/>
  <c r="AG7" i="1"/>
  <c r="AG8" i="1"/>
  <c r="AG9" i="1"/>
  <c r="AG10" i="1"/>
  <c r="AG11" i="1"/>
  <c r="AG12" i="1"/>
  <c r="AG13" i="1"/>
  <c r="AF6" i="1"/>
  <c r="AF7" i="1"/>
  <c r="AF8" i="1"/>
  <c r="AF9" i="1"/>
  <c r="AF10" i="1"/>
  <c r="AF11" i="1"/>
  <c r="AF12" i="1"/>
  <c r="AF13" i="1"/>
  <c r="AE6" i="1"/>
  <c r="AE7" i="1"/>
  <c r="AE8" i="1"/>
  <c r="AE9" i="1"/>
  <c r="AE10" i="1"/>
  <c r="AE11" i="1"/>
  <c r="AE12" i="1"/>
  <c r="AE13" i="1"/>
  <c r="AD6" i="1"/>
  <c r="AD7" i="1"/>
  <c r="AD8" i="1"/>
  <c r="AD9" i="1"/>
  <c r="AD10" i="1"/>
  <c r="AD11" i="1"/>
  <c r="AD12" i="1"/>
  <c r="AD13" i="1"/>
  <c r="AB10" i="1"/>
  <c r="AB9" i="1"/>
  <c r="AC6" i="1"/>
  <c r="AC7" i="1"/>
  <c r="AC8" i="1"/>
  <c r="AC9" i="1"/>
  <c r="AC10" i="1"/>
  <c r="AC11" i="1"/>
  <c r="AC12" i="1"/>
  <c r="AC13" i="1"/>
  <c r="AB6" i="1"/>
  <c r="AB7" i="1"/>
  <c r="AB8" i="1"/>
  <c r="AB11" i="1"/>
  <c r="AB12" i="1"/>
  <c r="AB13" i="1"/>
  <c r="AA6" i="1"/>
  <c r="AA7" i="1"/>
  <c r="AA8" i="1"/>
  <c r="AA9" i="1"/>
  <c r="AA10" i="1"/>
  <c r="AA11" i="1"/>
  <c r="AA12" i="1"/>
  <c r="AA13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I24" i="1" l="1"/>
  <c r="P24" i="1"/>
  <c r="Q43" i="1"/>
  <c r="E24" i="1"/>
  <c r="M43" i="1"/>
  <c r="N43" i="1"/>
  <c r="N24" i="1"/>
  <c r="Q24" i="1"/>
  <c r="R43" i="1"/>
  <c r="K43" i="1"/>
  <c r="K24" i="1"/>
  <c r="I43" i="1"/>
  <c r="L24" i="1"/>
  <c r="F43" i="1"/>
  <c r="F24" i="1"/>
  <c r="J43" i="1"/>
  <c r="J24" i="1"/>
  <c r="L43" i="1"/>
  <c r="M24" i="1"/>
  <c r="O24" i="1"/>
  <c r="G43" i="1"/>
  <c r="G24" i="1"/>
  <c r="O43" i="1"/>
  <c r="E43" i="1"/>
  <c r="R24" i="1"/>
  <c r="H43" i="1"/>
  <c r="H24" i="1"/>
  <c r="P43" i="1"/>
  <c r="L14" i="1"/>
  <c r="P14" i="1"/>
  <c r="K14" i="1"/>
  <c r="H14" i="1"/>
  <c r="G14" i="1"/>
  <c r="O14" i="1"/>
  <c r="N14" i="1"/>
  <c r="J14" i="1"/>
  <c r="J45" i="1" s="1"/>
  <c r="E14" i="1"/>
  <c r="M14" i="1"/>
  <c r="I14" i="1"/>
  <c r="F14" i="1"/>
  <c r="R14" i="1"/>
  <c r="Q14" i="1"/>
  <c r="P45" i="1" l="1"/>
  <c r="Q45" i="1"/>
  <c r="M45" i="1"/>
  <c r="E45" i="1"/>
  <c r="G45" i="1"/>
  <c r="L45" i="1"/>
  <c r="F45" i="1"/>
  <c r="O45" i="1"/>
  <c r="H45" i="1"/>
  <c r="K45" i="1"/>
  <c r="R45" i="1"/>
  <c r="I45" i="1"/>
</calcChain>
</file>

<file path=xl/sharedStrings.xml><?xml version="1.0" encoding="utf-8"?>
<sst xmlns="http://schemas.openxmlformats.org/spreadsheetml/2006/main" count="474" uniqueCount="73">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</sst>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" fillId="18" borderId="0" xfId="27" applyAlignment="1">
      <alignment horizontal="center"/>
    </xf>
    <xf numFmtId="0" fontId="14" fillId="0" borderId="0" xfId="0" applyFont="1"/>
    <xf numFmtId="0" fontId="17" fillId="0" borderId="0" xfId="0" applyFo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45"/>
  <sheetViews>
    <sheetView tabSelected="1" topLeftCell="B1" zoomScale="101" zoomScaleNormal="70" workbookViewId="0">
      <selection activeCell="X7" sqref="X7"/>
    </sheetView>
  </sheetViews>
  <sheetFormatPr defaultColWidth="8.77734375" defaultRowHeight="14.4" x14ac:dyDescent="0.3"/>
  <cols>
    <col min="1" max="1" width="3.109375" customWidth="1"/>
    <col min="2" max="2" width="15.6640625" bestFit="1" customWidth="1"/>
    <col min="3" max="4" width="4.6640625" style="2" customWidth="1"/>
    <col min="5" max="18" width="3.44140625" style="2" bestFit="1" customWidth="1"/>
    <col min="19" max="19" width="3.33203125" customWidth="1"/>
  </cols>
  <sheetData>
    <row r="2" spans="2:39" ht="43.2" x14ac:dyDescent="0.3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6</v>
      </c>
      <c r="Q2" s="3" t="s">
        <v>10</v>
      </c>
      <c r="R2" s="3" t="s">
        <v>57</v>
      </c>
    </row>
    <row r="3" spans="2:39" ht="42" x14ac:dyDescent="0.3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65</v>
      </c>
      <c r="Q3" s="3" t="s">
        <v>18</v>
      </c>
      <c r="R3" s="3" t="s">
        <v>14</v>
      </c>
    </row>
    <row r="4" spans="2:39" ht="25.8" x14ac:dyDescent="0.5">
      <c r="B4" s="4" t="s">
        <v>20</v>
      </c>
      <c r="D4" s="1"/>
      <c r="T4" s="7" t="s">
        <v>67</v>
      </c>
      <c r="U4" s="7"/>
      <c r="V4" s="7"/>
      <c r="W4" s="7"/>
    </row>
    <row r="5" spans="2:39" x14ac:dyDescent="0.3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P5" s="2" t="s">
        <v>1</v>
      </c>
      <c r="T5" s="11" t="s">
        <v>69</v>
      </c>
      <c r="U5" s="11" t="s">
        <v>68</v>
      </c>
      <c r="V5" s="11" t="s">
        <v>70</v>
      </c>
      <c r="W5" s="11" t="s">
        <v>71</v>
      </c>
      <c r="Y5" s="9"/>
      <c r="Z5" s="10">
        <f t="shared" ref="Z5:AM20" si="0">IF(E5=$C$3,$C5,IF(E5=$D$3,$D5,IF(E5=$B$3,0)))</f>
        <v>0</v>
      </c>
      <c r="AA5" s="10">
        <f t="shared" si="0"/>
        <v>0</v>
      </c>
      <c r="AB5" s="10">
        <f t="shared" si="0"/>
        <v>4</v>
      </c>
      <c r="AC5" s="10">
        <f t="shared" si="0"/>
        <v>4</v>
      </c>
      <c r="AD5" s="10">
        <f t="shared" si="0"/>
        <v>4</v>
      </c>
      <c r="AE5" s="10">
        <f t="shared" si="0"/>
        <v>4</v>
      </c>
      <c r="AF5" s="10">
        <f t="shared" si="0"/>
        <v>4</v>
      </c>
      <c r="AG5" s="10">
        <f t="shared" si="0"/>
        <v>4</v>
      </c>
      <c r="AH5" s="10">
        <f t="shared" si="0"/>
        <v>0</v>
      </c>
      <c r="AI5" s="10">
        <f t="shared" si="0"/>
        <v>4</v>
      </c>
      <c r="AJ5" s="10">
        <f t="shared" si="0"/>
        <v>4</v>
      </c>
      <c r="AK5" s="10">
        <f t="shared" si="0"/>
        <v>2</v>
      </c>
      <c r="AL5" s="10">
        <f t="shared" si="0"/>
        <v>0</v>
      </c>
      <c r="AM5" s="10">
        <f t="shared" si="0"/>
        <v>0</v>
      </c>
    </row>
    <row r="6" spans="2:39" x14ac:dyDescent="0.3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Q6" s="2" t="s">
        <v>0</v>
      </c>
      <c r="T6" s="12" t="s">
        <v>9</v>
      </c>
      <c r="U6" s="12" t="s">
        <v>19</v>
      </c>
      <c r="V6" s="12">
        <v>94</v>
      </c>
      <c r="W6" s="12">
        <f>IF(V6&lt;50,5,ROUNDDOWN(V6/10+1,0))</f>
        <v>10</v>
      </c>
      <c r="Y6" s="9"/>
      <c r="Z6" s="10">
        <f>IF(E6=$C$3,$C6,IF(E6=$D$3,$D6,IF(E6=$B$3,0)))</f>
        <v>2</v>
      </c>
      <c r="AA6" s="10">
        <f>IF(F6=$C$3,$C6,IF(F6=$D$3,$D6,IF(F6=$B$3,0)))</f>
        <v>0</v>
      </c>
      <c r="AB6" s="10">
        <f>IF(G6=$C$3,$C6,IF(G6=$D$3,$D6,IF(G6=$B$3,0)))</f>
        <v>2</v>
      </c>
      <c r="AC6" s="10">
        <f>IF(H6=$C$3,$C6,IF(H6=$D$3,$D6,IF(H6=$B$3,0)))</f>
        <v>0</v>
      </c>
      <c r="AD6" s="10">
        <f>IF(I6=$C$3,$C6,IF(I6=$D$3,$D6,IF(I6=$B$3,0)))</f>
        <v>2</v>
      </c>
      <c r="AE6" s="10">
        <f>IF(J6=$C$3,$C6,IF(J6=$D$3,$D6,IF(J6=$B$3,0)))</f>
        <v>2</v>
      </c>
      <c r="AF6" s="10">
        <f>IF(K6=$C$3,$C6,IF(K6=$D$3,$D6,IF(K6=$B$3,0)))</f>
        <v>2</v>
      </c>
      <c r="AG6" s="10">
        <f>IF(L6=$C$3,$C6,IF(L6=$D$3,$D6,IF(L6=$B$3,0)))</f>
        <v>2</v>
      </c>
      <c r="AH6" s="10">
        <f>IF(M6=$C$3,$C6,IF(M6=$D$3,$D6,IF(M6=$B$3,0)))</f>
        <v>0</v>
      </c>
      <c r="AI6" s="10">
        <f>IF(N6=$C$3,$C6,IF(N6=$D$3,$D6,IF(N6=$B$3,0)))</f>
        <v>2</v>
      </c>
      <c r="AJ6" s="10">
        <f>IF(O6=$C$3,$C6,IF(O6=$D$3,$D6,IF(O6=$B$3,0)))</f>
        <v>0</v>
      </c>
      <c r="AK6" s="10">
        <f>IF(P6=$C$3,$C6,IF(P6=$D$3,$D6,IF(P6=$B$3,0)))</f>
        <v>0</v>
      </c>
      <c r="AL6" s="10">
        <f>IF(Q6=$C$3,$C6,IF(Q6=$D$3,$D6,IF(Q6=$B$3,0)))</f>
        <v>2</v>
      </c>
      <c r="AM6" s="10">
        <f>IF(R6=$C$3,$C6,IF(R6=$D$3,$D6,IF(R6=$B$3,0)))</f>
        <v>0</v>
      </c>
    </row>
    <row r="7" spans="2:39" x14ac:dyDescent="0.3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Q7" s="2" t="s">
        <v>0</v>
      </c>
      <c r="T7" s="12" t="s">
        <v>7</v>
      </c>
      <c r="U7" s="12" t="s">
        <v>66</v>
      </c>
      <c r="V7" s="12">
        <v>92</v>
      </c>
      <c r="W7" s="12">
        <f t="shared" ref="W7:W19" si="1">IF(V7&lt;50,5,ROUNDDOWN(V7/10+1,0))</f>
        <v>10</v>
      </c>
      <c r="Y7" s="9"/>
      <c r="Z7" s="10">
        <f>IF(E7=$C$3,$C7,IF(E7=$D$3,$D7,IF(E7=$B$3,0)))</f>
        <v>2</v>
      </c>
      <c r="AA7" s="10">
        <f>IF(F7=$C$3,$C7,IF(F7=$D$3,$D7,IF(F7=$B$3,0)))</f>
        <v>0</v>
      </c>
      <c r="AB7" s="10">
        <f>IF(G7=$C$3,$C7,IF(G7=$D$3,$D7,IF(G7=$B$3,0)))</f>
        <v>1</v>
      </c>
      <c r="AC7" s="10">
        <f>IF(H7=$C$3,$C7,IF(H7=$D$3,$D7,IF(H7=$B$3,0)))</f>
        <v>0</v>
      </c>
      <c r="AD7" s="10">
        <f>IF(I7=$C$3,$C7,IF(I7=$D$3,$D7,IF(I7=$B$3,0)))</f>
        <v>2</v>
      </c>
      <c r="AE7" s="10">
        <f>IF(J7=$C$3,$C7,IF(J7=$D$3,$D7,IF(J7=$B$3,0)))</f>
        <v>1</v>
      </c>
      <c r="AF7" s="10">
        <f>IF(K7=$C$3,$C7,IF(K7=$D$3,$D7,IF(K7=$B$3,0)))</f>
        <v>2</v>
      </c>
      <c r="AG7" s="10">
        <f>IF(L7=$C$3,$C7,IF(L7=$D$3,$D7,IF(L7=$B$3,0)))</f>
        <v>2</v>
      </c>
      <c r="AH7" s="10">
        <f>IF(M7=$C$3,$C7,IF(M7=$D$3,$D7,IF(M7=$B$3,0)))</f>
        <v>0</v>
      </c>
      <c r="AI7" s="10">
        <f>IF(N7=$C$3,$C7,IF(N7=$D$3,$D7,IF(N7=$B$3,0)))</f>
        <v>2</v>
      </c>
      <c r="AJ7" s="10">
        <f>IF(O7=$C$3,$C7,IF(O7=$D$3,$D7,IF(O7=$B$3,0)))</f>
        <v>2</v>
      </c>
      <c r="AK7" s="10">
        <f>IF(P7=$C$3,$C7,IF(P7=$D$3,$D7,IF(P7=$B$3,0)))</f>
        <v>0</v>
      </c>
      <c r="AL7" s="10">
        <f>IF(Q7=$C$3,$C7,IF(Q7=$D$3,$D7,IF(Q7=$B$3,0)))</f>
        <v>2</v>
      </c>
      <c r="AM7" s="10">
        <f>IF(R7=$C$3,$C7,IF(R7=$D$3,$D7,IF(R7=$B$3,0)))</f>
        <v>0</v>
      </c>
    </row>
    <row r="8" spans="2:39" x14ac:dyDescent="0.3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Q8" s="2" t="s">
        <v>0</v>
      </c>
      <c r="T8" s="12" t="s">
        <v>2</v>
      </c>
      <c r="U8" s="12" t="s">
        <v>13</v>
      </c>
      <c r="V8" s="12">
        <v>87</v>
      </c>
      <c r="W8" s="12">
        <f t="shared" si="1"/>
        <v>9</v>
      </c>
      <c r="Y8" s="9"/>
      <c r="Z8" s="10">
        <f>IF(E8=$C$3,$C8,IF(E8=$D$3,$D8,IF(E8=$B$3,0)))</f>
        <v>3</v>
      </c>
      <c r="AA8" s="10">
        <f>IF(F8=$C$3,$C8,IF(F8=$D$3,$D8,IF(F8=$B$3,0)))</f>
        <v>0</v>
      </c>
      <c r="AB8" s="10">
        <f>IF(G8=$C$3,$C8,IF(G8=$D$3,$D8,IF(G8=$B$3,0)))</f>
        <v>3</v>
      </c>
      <c r="AC8" s="10">
        <f>IF(H8=$C$3,$C8,IF(H8=$D$3,$D8,IF(H8=$B$3,0)))</f>
        <v>0</v>
      </c>
      <c r="AD8" s="10">
        <f>IF(I8=$C$3,$C8,IF(I8=$D$3,$D8,IF(I8=$B$3,0)))</f>
        <v>3</v>
      </c>
      <c r="AE8" s="10">
        <f>IF(J8=$C$3,$C8,IF(J8=$D$3,$D8,IF(J8=$B$3,0)))</f>
        <v>0</v>
      </c>
      <c r="AF8" s="10">
        <f>IF(K8=$C$3,$C8,IF(K8=$D$3,$D8,IF(K8=$B$3,0)))</f>
        <v>3</v>
      </c>
      <c r="AG8" s="10">
        <f>IF(L8=$C$3,$C8,IF(L8=$D$3,$D8,IF(L8=$B$3,0)))</f>
        <v>3</v>
      </c>
      <c r="AH8" s="10">
        <f>IF(M8=$C$3,$C8,IF(M8=$D$3,$D8,IF(M8=$B$3,0)))</f>
        <v>0</v>
      </c>
      <c r="AI8" s="10">
        <f>IF(N8=$C$3,$C8,IF(N8=$D$3,$D8,IF(N8=$B$3,0)))</f>
        <v>3</v>
      </c>
      <c r="AJ8" s="10">
        <f>IF(O8=$C$3,$C8,IF(O8=$D$3,$D8,IF(O8=$B$3,0)))</f>
        <v>0</v>
      </c>
      <c r="AK8" s="10">
        <f>IF(P8=$C$3,$C8,IF(P8=$D$3,$D8,IF(P8=$B$3,0)))</f>
        <v>0</v>
      </c>
      <c r="AL8" s="10">
        <f>IF(Q8=$C$3,$C8,IF(Q8=$D$3,$D8,IF(Q8=$B$3,0)))</f>
        <v>3</v>
      </c>
      <c r="AM8" s="10">
        <f>IF(R8=$C$3,$C8,IF(R8=$D$3,$D8,IF(R8=$B$3,0)))</f>
        <v>0</v>
      </c>
    </row>
    <row r="9" spans="2:39" x14ac:dyDescent="0.3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0</v>
      </c>
      <c r="Q9" s="2" t="s">
        <v>1</v>
      </c>
      <c r="T9" s="12" t="s">
        <v>61</v>
      </c>
      <c r="U9" s="12" t="s">
        <v>17</v>
      </c>
      <c r="V9" s="12">
        <v>84</v>
      </c>
      <c r="W9" s="12">
        <f t="shared" si="1"/>
        <v>9</v>
      </c>
      <c r="Y9" s="9"/>
      <c r="Z9" s="10">
        <f>IF(E9=$C$3,$C9,IF(E9=$D$3,$D9,IF(E9=$B$3,0)))</f>
        <v>1</v>
      </c>
      <c r="AA9" s="10">
        <f>IF(F9=$C$3,$C9,IF(F9=$D$3,$D9,IF(F9=$B$3,0)))</f>
        <v>0</v>
      </c>
      <c r="AB9" s="10">
        <f>IF(G9=$C$3,$C9,IF(G9=$D$3,$D9,IF(G9=$B$3,0)))</f>
        <v>2</v>
      </c>
      <c r="AC9" s="10">
        <f>IF(H9=$C$3,$C9,IF(H9=$D$3,$D9,IF(H9=$B$3,0)))</f>
        <v>0</v>
      </c>
      <c r="AD9" s="10">
        <f>IF(I9=$C$3,$C9,IF(I9=$D$3,$D9,IF(I9=$B$3,0)))</f>
        <v>2</v>
      </c>
      <c r="AE9" s="10">
        <f>IF(J9=$C$3,$C9,IF(J9=$D$3,$D9,IF(J9=$B$3,0)))</f>
        <v>1</v>
      </c>
      <c r="AF9" s="10">
        <f>IF(K9=$C$3,$C9,IF(K9=$D$3,$D9,IF(K9=$B$3,0)))</f>
        <v>2</v>
      </c>
      <c r="AG9" s="10">
        <f>IF(L9=$C$3,$C9,IF(L9=$D$3,$D9,IF(L9=$B$3,0)))</f>
        <v>2</v>
      </c>
      <c r="AH9" s="10">
        <f>IF(M9=$C$3,$C9,IF(M9=$D$3,$D9,IF(M9=$B$3,0)))</f>
        <v>2</v>
      </c>
      <c r="AI9" s="10">
        <f>IF(N9=$C$3,$C9,IF(N9=$D$3,$D9,IF(N9=$B$3,0)))</f>
        <v>2</v>
      </c>
      <c r="AJ9" s="10">
        <f>IF(O9=$C$3,$C9,IF(O9=$D$3,$D9,IF(O9=$B$3,0)))</f>
        <v>1</v>
      </c>
      <c r="AK9" s="10">
        <f>IF(P9=$C$3,$C9,IF(P9=$D$3,$D9,IF(P9=$B$3,0)))</f>
        <v>2</v>
      </c>
      <c r="AL9" s="10">
        <f>IF(Q9=$C$3,$C9,IF(Q9=$D$3,$D9,IF(Q9=$B$3,0)))</f>
        <v>1</v>
      </c>
      <c r="AM9" s="10">
        <f>IF(R9=$C$3,$C9,IF(R9=$D$3,$D9,IF(R9=$B$3,0)))</f>
        <v>0</v>
      </c>
    </row>
    <row r="10" spans="2:39" x14ac:dyDescent="0.3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P10" s="2" t="s">
        <v>0</v>
      </c>
      <c r="Q10" s="2" t="s">
        <v>0</v>
      </c>
      <c r="T10" s="12" t="s">
        <v>10</v>
      </c>
      <c r="U10" s="12" t="s">
        <v>18</v>
      </c>
      <c r="V10" s="12">
        <v>83</v>
      </c>
      <c r="W10" s="12">
        <f t="shared" si="1"/>
        <v>9</v>
      </c>
      <c r="Y10" s="9"/>
      <c r="Z10" s="10">
        <f>IF(E10=$C$3,$C10,IF(E10=$D$3,$D10,IF(E10=$B$3,0)))</f>
        <v>1</v>
      </c>
      <c r="AA10" s="10">
        <f>IF(F10=$C$3,$C10,IF(F10=$D$3,$D10,IF(F10=$B$3,0)))</f>
        <v>0</v>
      </c>
      <c r="AB10" s="10">
        <f>IF(G10=$C$3,$C10,IF(G10=$D$3,$D10,IF(G10=$B$3,0)))</f>
        <v>0</v>
      </c>
      <c r="AC10" s="10">
        <f>IF(H10=$C$3,$C10,IF(H10=$D$3,$D10,IF(H10=$B$3,0)))</f>
        <v>0</v>
      </c>
      <c r="AD10" s="10">
        <f>IF(I10=$C$3,$C10,IF(I10=$D$3,$D10,IF(I10=$B$3,0)))</f>
        <v>2</v>
      </c>
      <c r="AE10" s="10">
        <f>IF(J10=$C$3,$C10,IF(J10=$D$3,$D10,IF(J10=$B$3,0)))</f>
        <v>2</v>
      </c>
      <c r="AF10" s="10">
        <f>IF(K10=$C$3,$C10,IF(K10=$D$3,$D10,IF(K10=$B$3,0)))</f>
        <v>2</v>
      </c>
      <c r="AG10" s="10">
        <f>IF(L10=$C$3,$C10,IF(L10=$D$3,$D10,IF(L10=$B$3,0)))</f>
        <v>2</v>
      </c>
      <c r="AH10" s="10">
        <f>IF(M10=$C$3,$C10,IF(M10=$D$3,$D10,IF(M10=$B$3,0)))</f>
        <v>2</v>
      </c>
      <c r="AI10" s="10">
        <f>IF(N10=$C$3,$C10,IF(N10=$D$3,$D10,IF(N10=$B$3,0)))</f>
        <v>2</v>
      </c>
      <c r="AJ10" s="10">
        <f>IF(O10=$C$3,$C10,IF(O10=$D$3,$D10,IF(O10=$B$3,0)))</f>
        <v>1</v>
      </c>
      <c r="AK10" s="10">
        <f>IF(P10=$C$3,$C10,IF(P10=$D$3,$D10,IF(P10=$B$3,0)))</f>
        <v>2</v>
      </c>
      <c r="AL10" s="10">
        <f>IF(Q10=$C$3,$C10,IF(Q10=$D$3,$D10,IF(Q10=$B$3,0)))</f>
        <v>2</v>
      </c>
      <c r="AM10" s="10">
        <f>IF(R10=$C$3,$C10,IF(R10=$D$3,$D10,IF(R10=$B$3,0)))</f>
        <v>0</v>
      </c>
    </row>
    <row r="11" spans="2:39" x14ac:dyDescent="0.3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Q11" s="2" t="s">
        <v>1</v>
      </c>
      <c r="T11" s="12" t="s">
        <v>3</v>
      </c>
      <c r="U11" s="12" t="s">
        <v>12</v>
      </c>
      <c r="V11" s="12">
        <v>78</v>
      </c>
      <c r="W11" s="12">
        <f t="shared" si="1"/>
        <v>8</v>
      </c>
      <c r="Y11" s="9"/>
      <c r="Z11" s="10">
        <f>IF(E11=$C$3,$C11,IF(E11=$D$3,$D11,IF(E11=$B$3,0)))</f>
        <v>3</v>
      </c>
      <c r="AA11" s="10">
        <f>IF(F11=$C$3,$C11,IF(F11=$D$3,$D11,IF(F11=$B$3,0)))</f>
        <v>0</v>
      </c>
      <c r="AB11" s="10">
        <f>IF(G11=$C$3,$C11,IF(G11=$D$3,$D11,IF(G11=$B$3,0)))</f>
        <v>0</v>
      </c>
      <c r="AC11" s="10">
        <f>IF(H11=$C$3,$C11,IF(H11=$D$3,$D11,IF(H11=$B$3,0)))</f>
        <v>0</v>
      </c>
      <c r="AD11" s="10">
        <f>IF(I11=$C$3,$C11,IF(I11=$D$3,$D11,IF(I11=$B$3,0)))</f>
        <v>3</v>
      </c>
      <c r="AE11" s="10">
        <f>IF(J11=$C$3,$C11,IF(J11=$D$3,$D11,IF(J11=$B$3,0)))</f>
        <v>3</v>
      </c>
      <c r="AF11" s="10">
        <f>IF(K11=$C$3,$C11,IF(K11=$D$3,$D11,IF(K11=$B$3,0)))</f>
        <v>3</v>
      </c>
      <c r="AG11" s="10">
        <f>IF(L11=$C$3,$C11,IF(L11=$D$3,$D11,IF(L11=$B$3,0)))</f>
        <v>3</v>
      </c>
      <c r="AH11" s="10">
        <f>IF(M11=$C$3,$C11,IF(M11=$D$3,$D11,IF(M11=$B$3,0)))</f>
        <v>0</v>
      </c>
      <c r="AI11" s="10">
        <f>IF(N11=$C$3,$C11,IF(N11=$D$3,$D11,IF(N11=$B$3,0)))</f>
        <v>6</v>
      </c>
      <c r="AJ11" s="10">
        <f>IF(O11=$C$3,$C11,IF(O11=$D$3,$D11,IF(O11=$B$3,0)))</f>
        <v>3</v>
      </c>
      <c r="AK11" s="10">
        <f>IF(P11=$C$3,$C11,IF(P11=$D$3,$D11,IF(P11=$B$3,0)))</f>
        <v>0</v>
      </c>
      <c r="AL11" s="10">
        <f>IF(Q11=$C$3,$C11,IF(Q11=$D$3,$D11,IF(Q11=$B$3,0)))</f>
        <v>3</v>
      </c>
      <c r="AM11" s="10">
        <f>IF(R11=$C$3,$C11,IF(R11=$D$3,$D11,IF(R11=$B$3,0)))</f>
        <v>0</v>
      </c>
    </row>
    <row r="12" spans="2:39" x14ac:dyDescent="0.3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P12" s="2" t="s">
        <v>1</v>
      </c>
      <c r="Q12" s="2" t="s">
        <v>0</v>
      </c>
      <c r="T12" s="12" t="s">
        <v>60</v>
      </c>
      <c r="U12" s="12" t="s">
        <v>11</v>
      </c>
      <c r="V12" s="12">
        <v>70</v>
      </c>
      <c r="W12" s="12">
        <f t="shared" si="1"/>
        <v>8</v>
      </c>
      <c r="Y12" s="9"/>
      <c r="Z12" s="10">
        <f>IF(E12=$C$3,$C12,IF(E12=$D$3,$D12,IF(E12=$B$3,0)))</f>
        <v>2</v>
      </c>
      <c r="AA12" s="10">
        <f>IF(F12=$C$3,$C12,IF(F12=$D$3,$D12,IF(F12=$B$3,0)))</f>
        <v>0</v>
      </c>
      <c r="AB12" s="10">
        <f>IF(G12=$C$3,$C12,IF(G12=$D$3,$D12,IF(G12=$B$3,0)))</f>
        <v>0</v>
      </c>
      <c r="AC12" s="10">
        <f>IF(H12=$C$3,$C12,IF(H12=$D$3,$D12,IF(H12=$B$3,0)))</f>
        <v>0</v>
      </c>
      <c r="AD12" s="10">
        <f>IF(I12=$C$3,$C12,IF(I12=$D$3,$D12,IF(I12=$B$3,0)))</f>
        <v>3</v>
      </c>
      <c r="AE12" s="10">
        <f>IF(J12=$C$3,$C12,IF(J12=$D$3,$D12,IF(J12=$B$3,0)))</f>
        <v>3</v>
      </c>
      <c r="AF12" s="10">
        <f>IF(K12=$C$3,$C12,IF(K12=$D$3,$D12,IF(K12=$B$3,0)))</f>
        <v>3</v>
      </c>
      <c r="AG12" s="10">
        <f>IF(L12=$C$3,$C12,IF(L12=$D$3,$D12,IF(L12=$B$3,0)))</f>
        <v>3</v>
      </c>
      <c r="AH12" s="10">
        <f>IF(M12=$C$3,$C12,IF(M12=$D$3,$D12,IF(M12=$B$3,0)))</f>
        <v>2</v>
      </c>
      <c r="AI12" s="10">
        <f>IF(N12=$C$3,$C12,IF(N12=$D$3,$D12,IF(N12=$B$3,0)))</f>
        <v>3</v>
      </c>
      <c r="AJ12" s="10">
        <f>IF(O12=$C$3,$C12,IF(O12=$D$3,$D12,IF(O12=$B$3,0)))</f>
        <v>0</v>
      </c>
      <c r="AK12" s="10">
        <f>IF(P12=$C$3,$C12,IF(P12=$D$3,$D12,IF(P12=$B$3,0)))</f>
        <v>2</v>
      </c>
      <c r="AL12" s="10">
        <f>IF(Q12=$C$3,$C12,IF(Q12=$D$3,$D12,IF(Q12=$B$3,0)))</f>
        <v>3</v>
      </c>
      <c r="AM12" s="10">
        <f>IF(R12=$C$3,$C12,IF(R12=$D$3,$D12,IF(R12=$B$3,0)))</f>
        <v>0</v>
      </c>
    </row>
    <row r="13" spans="2:39" x14ac:dyDescent="0.3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P13" s="2" t="s">
        <v>1</v>
      </c>
      <c r="Q13" s="2" t="s">
        <v>0</v>
      </c>
      <c r="T13" s="12" t="s">
        <v>8</v>
      </c>
      <c r="U13" s="12" t="s">
        <v>64</v>
      </c>
      <c r="V13" s="12">
        <v>69</v>
      </c>
      <c r="W13" s="12">
        <f t="shared" si="1"/>
        <v>7</v>
      </c>
      <c r="Y13" s="9"/>
      <c r="Z13" s="10">
        <f>IF(E13=$C$3,$C13,IF(E13=$D$3,$D13,IF(E13=$B$3,0)))</f>
        <v>4</v>
      </c>
      <c r="AA13" s="10">
        <f>IF(F13=$C$3,$C13,IF(F13=$D$3,$D13,IF(F13=$B$3,0)))</f>
        <v>0</v>
      </c>
      <c r="AB13" s="10">
        <f>IF(G13=$C$3,$C13,IF(G13=$D$3,$D13,IF(G13=$B$3,0)))</f>
        <v>0</v>
      </c>
      <c r="AC13" s="10">
        <f>IF(H13=$C$3,$C13,IF(H13=$D$3,$D13,IF(H13=$B$3,0)))</f>
        <v>0</v>
      </c>
      <c r="AD13" s="10">
        <f>IF(I13=$C$3,$C13,IF(I13=$D$3,$D13,IF(I13=$B$3,0)))</f>
        <v>2</v>
      </c>
      <c r="AE13" s="10">
        <f>IF(J13=$C$3,$C13,IF(J13=$D$3,$D13,IF(J13=$B$3,0)))</f>
        <v>2</v>
      </c>
      <c r="AF13" s="10">
        <f>IF(K13=$C$3,$C13,IF(K13=$D$3,$D13,IF(K13=$B$3,0)))</f>
        <v>2</v>
      </c>
      <c r="AG13" s="10">
        <f>IF(L13=$C$3,$C13,IF(L13=$D$3,$D13,IF(L13=$B$3,0)))</f>
        <v>2</v>
      </c>
      <c r="AH13" s="10">
        <f>IF(M13=$C$3,$C13,IF(M13=$D$3,$D13,IF(M13=$B$3,0)))</f>
        <v>0</v>
      </c>
      <c r="AI13" s="10">
        <f>IF(N13=$C$3,$C13,IF(N13=$D$3,$D13,IF(N13=$B$3,0)))</f>
        <v>4</v>
      </c>
      <c r="AJ13" s="10">
        <f>IF(O13=$C$3,$C13,IF(O13=$D$3,$D13,IF(O13=$B$3,0)))</f>
        <v>0</v>
      </c>
      <c r="AK13" s="10">
        <f>IF(P13=$C$3,$C13,IF(P13=$D$3,$D13,IF(P13=$B$3,0)))</f>
        <v>2</v>
      </c>
      <c r="AL13" s="10">
        <f>IF(Q13=$C$3,$C13,IF(Q13=$D$3,$D13,IF(Q13=$B$3,0)))</f>
        <v>4</v>
      </c>
      <c r="AM13" s="10">
        <f>IF(R13=$C$3,$C13,IF(R13=$D$3,$D13,IF(R13=$B$3,0)))</f>
        <v>0</v>
      </c>
    </row>
    <row r="14" spans="2:39" x14ac:dyDescent="0.3">
      <c r="C14" s="6">
        <f>SUM(C5:C13)</f>
        <v>28</v>
      </c>
      <c r="D14" s="6">
        <f>SUM(D5:D13)</f>
        <v>14</v>
      </c>
      <c r="E14" s="8">
        <f>SUM(Z5:Z13)</f>
        <v>18</v>
      </c>
      <c r="F14" s="8">
        <f t="shared" ref="F14:R14" si="2">SUM(AA5:AA13)</f>
        <v>0</v>
      </c>
      <c r="G14" s="8">
        <f t="shared" si="2"/>
        <v>12</v>
      </c>
      <c r="H14" s="8">
        <f t="shared" si="2"/>
        <v>4</v>
      </c>
      <c r="I14" s="8">
        <f t="shared" si="2"/>
        <v>23</v>
      </c>
      <c r="J14" s="8">
        <f t="shared" si="2"/>
        <v>18</v>
      </c>
      <c r="K14" s="8">
        <f t="shared" si="2"/>
        <v>23</v>
      </c>
      <c r="L14" s="8">
        <f t="shared" si="2"/>
        <v>23</v>
      </c>
      <c r="M14" s="8">
        <f t="shared" si="2"/>
        <v>6</v>
      </c>
      <c r="N14" s="8">
        <f t="shared" si="2"/>
        <v>28</v>
      </c>
      <c r="O14" s="8">
        <f t="shared" si="2"/>
        <v>11</v>
      </c>
      <c r="P14" s="8">
        <f t="shared" si="2"/>
        <v>10</v>
      </c>
      <c r="Q14" s="8">
        <f t="shared" si="2"/>
        <v>20</v>
      </c>
      <c r="R14" s="8">
        <f t="shared" si="2"/>
        <v>0</v>
      </c>
      <c r="T14" s="12" t="s">
        <v>63</v>
      </c>
      <c r="U14" s="12" t="s">
        <v>16</v>
      </c>
      <c r="V14" s="12">
        <v>61</v>
      </c>
      <c r="W14" s="12">
        <f t="shared" si="1"/>
        <v>7</v>
      </c>
      <c r="Y14" s="9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spans="2:39" x14ac:dyDescent="0.3">
      <c r="B15" s="4" t="s">
        <v>30</v>
      </c>
      <c r="D15" s="1"/>
      <c r="T15" s="12" t="s">
        <v>58</v>
      </c>
      <c r="U15" s="12" t="s">
        <v>59</v>
      </c>
      <c r="V15" s="12">
        <v>55</v>
      </c>
      <c r="W15" s="12">
        <f t="shared" si="1"/>
        <v>6</v>
      </c>
      <c r="Y15" s="9"/>
      <c r="Z15" s="10" t="s">
        <v>72</v>
      </c>
      <c r="AA15" s="10">
        <f>IF(F15=$C$3,$C15,IF(F15=$D$3,$D15,IF(F15=$B$3,0)))</f>
        <v>0</v>
      </c>
      <c r="AB15" s="10">
        <f>IF(G15=$C$3,$C15,IF(G15=$D$3,$D15,IF(G15=$B$3,0)))</f>
        <v>0</v>
      </c>
      <c r="AC15" s="10">
        <f>IF(H15=$C$3,$C15,IF(H15=$D$3,$D15,IF(H15=$B$3,0)))</f>
        <v>0</v>
      </c>
      <c r="AD15" s="10">
        <f>IF(I15=$C$3,$C15,IF(I15=$D$3,$D15,IF(I15=$B$3,0)))</f>
        <v>0</v>
      </c>
      <c r="AE15" s="10">
        <f>IF(J15=$C$3,$C15,IF(J15=$D$3,$D15,IF(J15=$B$3,0)))</f>
        <v>0</v>
      </c>
      <c r="AF15" s="10">
        <f>IF(K15=$C$3,$C15,IF(K15=$D$3,$D15,IF(K15=$B$3,0)))</f>
        <v>0</v>
      </c>
      <c r="AG15" s="10">
        <f>IF(L15=$C$3,$C15,IF(L15=$D$3,$D15,IF(L15=$B$3,0)))</f>
        <v>0</v>
      </c>
      <c r="AH15" s="10">
        <f>IF(M15=$C$3,$C15,IF(M15=$D$3,$D15,IF(M15=$B$3,0)))</f>
        <v>0</v>
      </c>
      <c r="AI15" s="10">
        <f>IF(N15=$C$3,$C15,IF(N15=$D$3,$D15,IF(N15=$B$3,0)))</f>
        <v>0</v>
      </c>
      <c r="AJ15" s="10">
        <f>IF(O15=$C$3,$C15,IF(O15=$D$3,$D15,IF(O15=$B$3,0)))</f>
        <v>0</v>
      </c>
      <c r="AK15" s="10">
        <f>IF(P15=$C$3,$C15,IF(P15=$D$3,$D15,IF(P15=$B$3,0)))</f>
        <v>0</v>
      </c>
      <c r="AL15" s="10">
        <f>IF(Q15=$C$3,$C15,IF(Q15=$D$3,$D15,IF(Q15=$B$3,0)))</f>
        <v>0</v>
      </c>
      <c r="AM15" s="10">
        <f>IF(R15=$C$3,$C15,IF(R15=$D$3,$D15,IF(R15=$B$3,0)))</f>
        <v>0</v>
      </c>
    </row>
    <row r="16" spans="2:39" x14ac:dyDescent="0.3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s="12" t="s">
        <v>4</v>
      </c>
      <c r="U16" s="12" t="s">
        <v>62</v>
      </c>
      <c r="V16" s="12">
        <v>54</v>
      </c>
      <c r="W16" s="12">
        <f t="shared" si="1"/>
        <v>6</v>
      </c>
      <c r="Y16" s="9"/>
      <c r="Z16" s="10">
        <f>IF(E16=$C$3,$C16,IF(E16=$D$3,$D16,IF(E16=$B$3,0)))</f>
        <v>2</v>
      </c>
      <c r="AA16" s="10">
        <f>IF(F16=$C$3,$C16,IF(F16=$D$3,$D16,IF(F16=$B$3,0)))</f>
        <v>2</v>
      </c>
      <c r="AB16" s="10">
        <f>IF(G16=$C$3,$C16,IF(G16=$D$3,$D16,IF(G16=$B$3,0)))</f>
        <v>2</v>
      </c>
      <c r="AC16" s="10">
        <f>IF(H16=$C$3,$C16,IF(H16=$D$3,$D16,IF(H16=$B$3,0)))</f>
        <v>2</v>
      </c>
      <c r="AD16" s="10">
        <f>IF(I16=$C$3,$C16,IF(I16=$D$3,$D16,IF(I16=$B$3,0)))</f>
        <v>2</v>
      </c>
      <c r="AE16" s="10">
        <f>IF(J16=$C$3,$C16,IF(J16=$D$3,$D16,IF(J16=$B$3,0)))</f>
        <v>2</v>
      </c>
      <c r="AF16" s="10">
        <f>IF(K16=$C$3,$C16,IF(K16=$D$3,$D16,IF(K16=$B$3,0)))</f>
        <v>2</v>
      </c>
      <c r="AG16" s="10">
        <f>IF(L16=$C$3,$C16,IF(L16=$D$3,$D16,IF(L16=$B$3,0)))</f>
        <v>2</v>
      </c>
      <c r="AH16" s="10">
        <f>IF(M16=$C$3,$C16,IF(M16=$D$3,$D16,IF(M16=$B$3,0)))</f>
        <v>1</v>
      </c>
      <c r="AI16" s="10">
        <f>IF(N16=$C$3,$C16,IF(N16=$D$3,$D16,IF(N16=$B$3,0)))</f>
        <v>2</v>
      </c>
      <c r="AJ16" s="10">
        <f>IF(O16=$C$3,$C16,IF(O16=$D$3,$D16,IF(O16=$B$3,0)))</f>
        <v>0</v>
      </c>
      <c r="AK16" s="10">
        <f>IF(P16=$C$3,$C16,IF(P16=$D$3,$D16,IF(P16=$B$3,0)))</f>
        <v>2</v>
      </c>
      <c r="AL16" s="10">
        <f>IF(Q16=$C$3,$C16,IF(Q16=$D$3,$D16,IF(Q16=$B$3,0)))</f>
        <v>2</v>
      </c>
      <c r="AM16" s="10">
        <f>IF(R16=$C$3,$C16,IF(R16=$D$3,$D16,IF(R16=$B$3,0)))</f>
        <v>2</v>
      </c>
    </row>
    <row r="17" spans="2:39" x14ac:dyDescent="0.3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s="12" t="s">
        <v>57</v>
      </c>
      <c r="U17" s="12" t="s">
        <v>14</v>
      </c>
      <c r="V17" s="12">
        <v>54</v>
      </c>
      <c r="W17" s="12">
        <f t="shared" si="1"/>
        <v>6</v>
      </c>
      <c r="Y17" s="9"/>
      <c r="Z17" s="10">
        <f>IF(E17=$C$3,$C17,IF(E17=$D$3,$D17,IF(E17=$B$3,0)))</f>
        <v>2</v>
      </c>
      <c r="AA17" s="10">
        <f>IF(F17=$C$3,$C17,IF(F17=$D$3,$D17,IF(F17=$B$3,0)))</f>
        <v>3</v>
      </c>
      <c r="AB17" s="10">
        <f>IF(G17=$C$3,$C17,IF(G17=$D$3,$D17,IF(G17=$B$3,0)))</f>
        <v>2</v>
      </c>
      <c r="AC17" s="10">
        <f>IF(H17=$C$3,$C17,IF(H17=$D$3,$D17,IF(H17=$B$3,0)))</f>
        <v>3</v>
      </c>
      <c r="AD17" s="10">
        <f>IF(I17=$C$3,$C17,IF(I17=$D$3,$D17,IF(I17=$B$3,0)))</f>
        <v>3</v>
      </c>
      <c r="AE17" s="10">
        <f>IF(J17=$C$3,$C17,IF(J17=$D$3,$D17,IF(J17=$B$3,0)))</f>
        <v>3</v>
      </c>
      <c r="AF17" s="10">
        <f>IF(K17=$C$3,$C17,IF(K17=$D$3,$D17,IF(K17=$B$3,0)))</f>
        <v>3</v>
      </c>
      <c r="AG17" s="10">
        <f>IF(L17=$C$3,$C17,IF(L17=$D$3,$D17,IF(L17=$B$3,0)))</f>
        <v>2</v>
      </c>
      <c r="AH17" s="10">
        <f>IF(M17=$C$3,$C17,IF(M17=$D$3,$D17,IF(M17=$B$3,0)))</f>
        <v>0</v>
      </c>
      <c r="AI17" s="10">
        <f>IF(N17=$C$3,$C17,IF(N17=$D$3,$D17,IF(N17=$B$3,0)))</f>
        <v>3</v>
      </c>
      <c r="AJ17" s="10">
        <f>IF(O17=$C$3,$C17,IF(O17=$D$3,$D17,IF(O17=$B$3,0)))</f>
        <v>0</v>
      </c>
      <c r="AK17" s="10">
        <f>IF(P17=$C$3,$C17,IF(P17=$D$3,$D17,IF(P17=$B$3,0)))</f>
        <v>3</v>
      </c>
      <c r="AL17" s="10">
        <f>IF(Q17=$C$3,$C17,IF(Q17=$D$3,$D17,IF(Q17=$B$3,0)))</f>
        <v>3</v>
      </c>
      <c r="AM17" s="10">
        <f>IF(R17=$C$3,$C17,IF(R17=$D$3,$D17,IF(R17=$B$3,0)))</f>
        <v>3</v>
      </c>
    </row>
    <row r="18" spans="2:39" x14ac:dyDescent="0.3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1</v>
      </c>
      <c r="Q18" s="2" t="s">
        <v>0</v>
      </c>
      <c r="T18" s="12" t="s">
        <v>6</v>
      </c>
      <c r="U18" s="12" t="s">
        <v>65</v>
      </c>
      <c r="V18" s="12">
        <v>42</v>
      </c>
      <c r="W18" s="12">
        <f t="shared" si="1"/>
        <v>5</v>
      </c>
      <c r="Y18" s="9"/>
      <c r="Z18" s="10">
        <f>IF(E18=$C$3,$C18,IF(E18=$D$3,$D18,IF(E18=$B$3,0)))</f>
        <v>2</v>
      </c>
      <c r="AA18" s="10">
        <f>IF(F18=$C$3,$C18,IF(F18=$D$3,$D18,IF(F18=$B$3,0)))</f>
        <v>2</v>
      </c>
      <c r="AB18" s="10">
        <f>IF(G18=$C$3,$C18,IF(G18=$D$3,$D18,IF(G18=$B$3,0)))</f>
        <v>2</v>
      </c>
      <c r="AC18" s="10">
        <f>IF(H18=$C$3,$C18,IF(H18=$D$3,$D18,IF(H18=$B$3,0)))</f>
        <v>2</v>
      </c>
      <c r="AD18" s="10">
        <f>IF(I18=$C$3,$C18,IF(I18=$D$3,$D18,IF(I18=$B$3,0)))</f>
        <v>2</v>
      </c>
      <c r="AE18" s="10">
        <f>IF(J18=$C$3,$C18,IF(J18=$D$3,$D18,IF(J18=$B$3,0)))</f>
        <v>2</v>
      </c>
      <c r="AF18" s="10">
        <f>IF(K18=$C$3,$C18,IF(K18=$D$3,$D18,IF(K18=$B$3,0)))</f>
        <v>2</v>
      </c>
      <c r="AG18" s="10">
        <f>IF(L18=$C$3,$C18,IF(L18=$D$3,$D18,IF(L18=$B$3,0)))</f>
        <v>2</v>
      </c>
      <c r="AH18" s="10">
        <f>IF(M18=$C$3,$C18,IF(M18=$D$3,$D18,IF(M18=$B$3,0)))</f>
        <v>2</v>
      </c>
      <c r="AI18" s="10">
        <f>IF(N18=$C$3,$C18,IF(N18=$D$3,$D18,IF(N18=$B$3,0)))</f>
        <v>2</v>
      </c>
      <c r="AJ18" s="10">
        <f>IF(O18=$C$3,$C18,IF(O18=$D$3,$D18,IF(O18=$B$3,0)))</f>
        <v>2</v>
      </c>
      <c r="AK18" s="10">
        <f>IF(P18=$C$3,$C18,IF(P18=$D$3,$D18,IF(P18=$B$3,0)))</f>
        <v>1</v>
      </c>
      <c r="AL18" s="10">
        <f>IF(Q18=$C$3,$C18,IF(Q18=$D$3,$D18,IF(Q18=$B$3,0)))</f>
        <v>2</v>
      </c>
      <c r="AM18" s="10">
        <f>IF(R18=$C$3,$C18,IF(R18=$D$3,$D18,IF(R18=$B$3,0)))</f>
        <v>0</v>
      </c>
    </row>
    <row r="19" spans="2:39" x14ac:dyDescent="0.3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1</v>
      </c>
      <c r="Q19" s="2" t="s">
        <v>0</v>
      </c>
      <c r="R19" s="2" t="s">
        <v>0</v>
      </c>
      <c r="T19" s="12" t="s">
        <v>5</v>
      </c>
      <c r="U19" s="12" t="s">
        <v>15</v>
      </c>
      <c r="V19" s="12">
        <v>38</v>
      </c>
      <c r="W19" s="12">
        <f t="shared" si="1"/>
        <v>5</v>
      </c>
      <c r="Y19" s="9"/>
      <c r="Z19" s="10">
        <f>IF(E19=$C$3,$C19,IF(E19=$D$3,$D19,IF(E19=$B$3,0)))</f>
        <v>4</v>
      </c>
      <c r="AA19" s="10">
        <f>IF(F19=$C$3,$C19,IF(F19=$D$3,$D19,IF(F19=$B$3,0)))</f>
        <v>4</v>
      </c>
      <c r="AB19" s="10">
        <f>IF(G19=$C$3,$C19,IF(G19=$D$3,$D19,IF(G19=$B$3,0)))</f>
        <v>4</v>
      </c>
      <c r="AC19" s="10">
        <f>IF(H19=$C$3,$C19,IF(H19=$D$3,$D19,IF(H19=$B$3,0)))</f>
        <v>4</v>
      </c>
      <c r="AD19" s="10">
        <f>IF(I19=$C$3,$C19,IF(I19=$D$3,$D19,IF(I19=$B$3,0)))</f>
        <v>4</v>
      </c>
      <c r="AE19" s="10">
        <f>IF(J19=$C$3,$C19,IF(J19=$D$3,$D19,IF(J19=$B$3,0)))</f>
        <v>4</v>
      </c>
      <c r="AF19" s="10">
        <f>IF(K19=$C$3,$C19,IF(K19=$D$3,$D19,IF(K19=$B$3,0)))</f>
        <v>4</v>
      </c>
      <c r="AG19" s="10">
        <f>IF(L19=$C$3,$C19,IF(L19=$D$3,$D19,IF(L19=$B$3,0)))</f>
        <v>4</v>
      </c>
      <c r="AH19" s="10">
        <f>IF(M19=$C$3,$C19,IF(M19=$D$3,$D19,IF(M19=$B$3,0)))</f>
        <v>4</v>
      </c>
      <c r="AI19" s="10">
        <f>IF(N19=$C$3,$C19,IF(N19=$D$3,$D19,IF(N19=$B$3,0)))</f>
        <v>4</v>
      </c>
      <c r="AJ19" s="10">
        <f>IF(O19=$C$3,$C19,IF(O19=$D$3,$D19,IF(O19=$B$3,0)))</f>
        <v>4</v>
      </c>
      <c r="AK19" s="10">
        <f>IF(P19=$C$3,$C19,IF(P19=$D$3,$D19,IF(P19=$B$3,0)))</f>
        <v>2</v>
      </c>
      <c r="AL19" s="10">
        <f>IF(Q19=$C$3,$C19,IF(Q19=$D$3,$D19,IF(Q19=$B$3,0)))</f>
        <v>4</v>
      </c>
      <c r="AM19" s="10">
        <f>IF(R19=$C$3,$C19,IF(R19=$D$3,$D19,IF(R19=$B$3,0)))</f>
        <v>4</v>
      </c>
    </row>
    <row r="20" spans="2:39" x14ac:dyDescent="0.3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  <c r="Y20" s="9"/>
      <c r="Z20" s="10">
        <f t="shared" si="0"/>
        <v>3</v>
      </c>
      <c r="AA20" s="10">
        <f t="shared" si="0"/>
        <v>3</v>
      </c>
      <c r="AB20" s="10">
        <f t="shared" si="0"/>
        <v>3</v>
      </c>
      <c r="AC20" s="10">
        <f t="shared" si="0"/>
        <v>3</v>
      </c>
      <c r="AD20" s="10">
        <f t="shared" si="0"/>
        <v>3</v>
      </c>
      <c r="AE20" s="10">
        <f t="shared" si="0"/>
        <v>1</v>
      </c>
      <c r="AF20" s="10">
        <f t="shared" si="0"/>
        <v>3</v>
      </c>
      <c r="AG20" s="10">
        <f t="shared" si="0"/>
        <v>0</v>
      </c>
      <c r="AH20" s="10">
        <f t="shared" si="0"/>
        <v>3</v>
      </c>
      <c r="AI20" s="10">
        <f t="shared" si="0"/>
        <v>3</v>
      </c>
      <c r="AJ20" s="10">
        <f t="shared" si="0"/>
        <v>1</v>
      </c>
      <c r="AK20" s="10">
        <f t="shared" si="0"/>
        <v>3</v>
      </c>
      <c r="AL20" s="10">
        <f t="shared" si="0"/>
        <v>3</v>
      </c>
      <c r="AM20" s="10">
        <f t="shared" si="0"/>
        <v>3</v>
      </c>
    </row>
    <row r="21" spans="2:39" x14ac:dyDescent="0.3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Q21" s="2" t="s">
        <v>0</v>
      </c>
      <c r="Y21" s="9"/>
      <c r="Z21" s="10">
        <f t="shared" ref="Z21:Z42" si="3">IF(E21=$C$3,$C21,IF(E21=$D$3,$D21,IF(E21=$B$3,0)))</f>
        <v>5</v>
      </c>
      <c r="AA21" s="10">
        <f t="shared" ref="AA21:AL42" si="4">IF(F21=$C$3,$C21,IF(F21=$D$3,$D21,IF(F21=$B$3,0)))</f>
        <v>5</v>
      </c>
      <c r="AB21" s="10">
        <f t="shared" si="4"/>
        <v>5</v>
      </c>
      <c r="AC21" s="10">
        <f t="shared" si="4"/>
        <v>5</v>
      </c>
      <c r="AD21" s="10">
        <f t="shared" si="4"/>
        <v>5</v>
      </c>
      <c r="AE21" s="10">
        <f t="shared" si="4"/>
        <v>5</v>
      </c>
      <c r="AF21" s="10">
        <f t="shared" si="4"/>
        <v>5</v>
      </c>
      <c r="AG21" s="10">
        <f t="shared" si="4"/>
        <v>5</v>
      </c>
      <c r="AH21" s="10">
        <f t="shared" si="4"/>
        <v>5</v>
      </c>
      <c r="AI21" s="10">
        <f t="shared" si="4"/>
        <v>5</v>
      </c>
      <c r="AJ21" s="10">
        <f t="shared" si="4"/>
        <v>2</v>
      </c>
      <c r="AK21" s="10">
        <f t="shared" si="4"/>
        <v>0</v>
      </c>
      <c r="AL21" s="10">
        <f t="shared" si="4"/>
        <v>5</v>
      </c>
      <c r="AM21" s="10">
        <f t="shared" ref="AM21:AM42" si="5">IF(R21=$C$3,$C21,IF(R21=$D$3,$D21,IF(R21=$B$3,0)))</f>
        <v>0</v>
      </c>
    </row>
    <row r="22" spans="2:39" x14ac:dyDescent="0.3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  <c r="Y22" s="9"/>
      <c r="Z22" s="10">
        <f t="shared" si="3"/>
        <v>5</v>
      </c>
      <c r="AA22" s="10">
        <f t="shared" si="4"/>
        <v>5</v>
      </c>
      <c r="AB22" s="10">
        <f t="shared" si="4"/>
        <v>5</v>
      </c>
      <c r="AC22" s="10">
        <f t="shared" si="4"/>
        <v>0</v>
      </c>
      <c r="AD22" s="10">
        <f t="shared" si="4"/>
        <v>5</v>
      </c>
      <c r="AE22" s="10">
        <f t="shared" si="4"/>
        <v>5</v>
      </c>
      <c r="AF22" s="10">
        <f t="shared" si="4"/>
        <v>5</v>
      </c>
      <c r="AG22" s="10">
        <f t="shared" si="4"/>
        <v>5</v>
      </c>
      <c r="AH22" s="10">
        <f t="shared" si="4"/>
        <v>0</v>
      </c>
      <c r="AI22" s="10">
        <f t="shared" si="4"/>
        <v>5</v>
      </c>
      <c r="AJ22" s="10">
        <f t="shared" si="4"/>
        <v>0</v>
      </c>
      <c r="AK22" s="10">
        <f t="shared" si="4"/>
        <v>5</v>
      </c>
      <c r="AL22" s="10">
        <f t="shared" si="4"/>
        <v>5</v>
      </c>
      <c r="AM22" s="10">
        <f t="shared" si="5"/>
        <v>5</v>
      </c>
    </row>
    <row r="23" spans="2:39" x14ac:dyDescent="0.3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0</v>
      </c>
      <c r="Q23" s="2" t="s">
        <v>0</v>
      </c>
      <c r="R23" s="2" t="s">
        <v>1</v>
      </c>
      <c r="Y23" s="9"/>
      <c r="Z23" s="10">
        <f t="shared" si="3"/>
        <v>2</v>
      </c>
      <c r="AA23" s="10">
        <f t="shared" si="4"/>
        <v>0</v>
      </c>
      <c r="AB23" s="10">
        <f t="shared" si="4"/>
        <v>4</v>
      </c>
      <c r="AC23" s="10">
        <f t="shared" si="4"/>
        <v>4</v>
      </c>
      <c r="AD23" s="10">
        <f t="shared" si="4"/>
        <v>4</v>
      </c>
      <c r="AE23" s="10">
        <f t="shared" si="4"/>
        <v>2</v>
      </c>
      <c r="AF23" s="10">
        <f t="shared" si="4"/>
        <v>4</v>
      </c>
      <c r="AG23" s="10">
        <f t="shared" si="4"/>
        <v>4</v>
      </c>
      <c r="AH23" s="10">
        <f t="shared" si="4"/>
        <v>4</v>
      </c>
      <c r="AI23" s="10">
        <f t="shared" si="4"/>
        <v>4</v>
      </c>
      <c r="AJ23" s="10">
        <f t="shared" si="4"/>
        <v>0</v>
      </c>
      <c r="AK23" s="10">
        <f t="shared" si="4"/>
        <v>4</v>
      </c>
      <c r="AL23" s="10">
        <f t="shared" si="4"/>
        <v>4</v>
      </c>
      <c r="AM23" s="10">
        <f t="shared" si="5"/>
        <v>2</v>
      </c>
    </row>
    <row r="24" spans="2:39" x14ac:dyDescent="0.3">
      <c r="C24" s="6">
        <f>SUM(C16:C23)</f>
        <v>28</v>
      </c>
      <c r="D24" s="6">
        <f>SUM(D16:D23)</f>
        <v>14</v>
      </c>
      <c r="E24" s="6">
        <f>SUM(Z15:Z23)</f>
        <v>25</v>
      </c>
      <c r="F24" s="6">
        <f t="shared" ref="F24:R24" si="6">SUM(AA15:AA23)</f>
        <v>24</v>
      </c>
      <c r="G24" s="6">
        <f t="shared" si="6"/>
        <v>27</v>
      </c>
      <c r="H24" s="6">
        <f t="shared" si="6"/>
        <v>23</v>
      </c>
      <c r="I24" s="6">
        <f t="shared" si="6"/>
        <v>28</v>
      </c>
      <c r="J24" s="6">
        <f t="shared" si="6"/>
        <v>24</v>
      </c>
      <c r="K24" s="6">
        <f t="shared" si="6"/>
        <v>28</v>
      </c>
      <c r="L24" s="6">
        <f t="shared" si="6"/>
        <v>24</v>
      </c>
      <c r="M24" s="6">
        <f t="shared" si="6"/>
        <v>19</v>
      </c>
      <c r="N24" s="6">
        <f t="shared" si="6"/>
        <v>28</v>
      </c>
      <c r="O24" s="6">
        <f t="shared" si="6"/>
        <v>9</v>
      </c>
      <c r="P24" s="6">
        <f t="shared" si="6"/>
        <v>20</v>
      </c>
      <c r="Q24" s="6">
        <f t="shared" si="6"/>
        <v>28</v>
      </c>
      <c r="R24" s="6">
        <f t="shared" si="6"/>
        <v>19</v>
      </c>
      <c r="Y24" s="9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spans="2:39" x14ac:dyDescent="0.3">
      <c r="B25" s="4" t="s">
        <v>38</v>
      </c>
      <c r="D25" s="1"/>
      <c r="Y25" s="9"/>
      <c r="Z25" s="10">
        <f t="shared" si="3"/>
        <v>0</v>
      </c>
      <c r="AA25" s="10">
        <f t="shared" si="4"/>
        <v>0</v>
      </c>
      <c r="AB25" s="10">
        <f t="shared" si="4"/>
        <v>0</v>
      </c>
      <c r="AC25" s="10">
        <f t="shared" si="4"/>
        <v>0</v>
      </c>
      <c r="AD25" s="10">
        <f t="shared" si="4"/>
        <v>0</v>
      </c>
      <c r="AE25" s="10">
        <f t="shared" si="4"/>
        <v>0</v>
      </c>
      <c r="AF25" s="10">
        <f t="shared" si="4"/>
        <v>0</v>
      </c>
      <c r="AG25" s="10">
        <f t="shared" si="4"/>
        <v>0</v>
      </c>
      <c r="AH25" s="10">
        <f t="shared" si="4"/>
        <v>0</v>
      </c>
      <c r="AI25" s="10">
        <f t="shared" si="4"/>
        <v>0</v>
      </c>
      <c r="AJ25" s="10">
        <f t="shared" si="4"/>
        <v>0</v>
      </c>
      <c r="AK25" s="10">
        <f t="shared" si="4"/>
        <v>0</v>
      </c>
      <c r="AL25" s="10">
        <f t="shared" si="4"/>
        <v>0</v>
      </c>
      <c r="AM25" s="10">
        <f t="shared" si="5"/>
        <v>0</v>
      </c>
    </row>
    <row r="26" spans="2:39" x14ac:dyDescent="0.3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  <c r="Y26" s="9"/>
      <c r="Z26" s="10">
        <f t="shared" si="3"/>
        <v>2</v>
      </c>
      <c r="AA26" s="10">
        <f t="shared" si="4"/>
        <v>2</v>
      </c>
      <c r="AB26" s="10">
        <f t="shared" si="4"/>
        <v>2</v>
      </c>
      <c r="AC26" s="10">
        <f t="shared" si="4"/>
        <v>2</v>
      </c>
      <c r="AD26" s="10">
        <f t="shared" si="4"/>
        <v>2</v>
      </c>
      <c r="AE26" s="10">
        <f t="shared" si="4"/>
        <v>2</v>
      </c>
      <c r="AF26" s="10">
        <f t="shared" si="4"/>
        <v>2</v>
      </c>
      <c r="AG26" s="10">
        <f t="shared" si="4"/>
        <v>1</v>
      </c>
      <c r="AH26" s="10">
        <f t="shared" si="4"/>
        <v>2</v>
      </c>
      <c r="AI26" s="10">
        <f t="shared" si="4"/>
        <v>2</v>
      </c>
      <c r="AJ26" s="10">
        <f t="shared" si="4"/>
        <v>2</v>
      </c>
      <c r="AK26" s="10">
        <f t="shared" si="4"/>
        <v>1</v>
      </c>
      <c r="AL26" s="10">
        <f t="shared" si="4"/>
        <v>2</v>
      </c>
      <c r="AM26" s="10">
        <f t="shared" si="5"/>
        <v>2</v>
      </c>
    </row>
    <row r="27" spans="2:39" x14ac:dyDescent="0.3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1</v>
      </c>
      <c r="Q27" s="2" t="s">
        <v>0</v>
      </c>
      <c r="R27" s="2" t="s">
        <v>0</v>
      </c>
      <c r="Y27" s="9"/>
      <c r="Z27" s="10">
        <f t="shared" si="3"/>
        <v>4</v>
      </c>
      <c r="AA27" s="10">
        <f t="shared" si="4"/>
        <v>4</v>
      </c>
      <c r="AB27" s="10">
        <f t="shared" si="4"/>
        <v>4</v>
      </c>
      <c r="AC27" s="10">
        <f t="shared" si="4"/>
        <v>4</v>
      </c>
      <c r="AD27" s="10">
        <f t="shared" si="4"/>
        <v>4</v>
      </c>
      <c r="AE27" s="10">
        <f t="shared" si="4"/>
        <v>2</v>
      </c>
      <c r="AF27" s="10">
        <f t="shared" si="4"/>
        <v>4</v>
      </c>
      <c r="AG27" s="10">
        <f t="shared" si="4"/>
        <v>4</v>
      </c>
      <c r="AH27" s="10">
        <f t="shared" si="4"/>
        <v>4</v>
      </c>
      <c r="AI27" s="10">
        <f t="shared" si="4"/>
        <v>4</v>
      </c>
      <c r="AJ27" s="10">
        <f t="shared" si="4"/>
        <v>4</v>
      </c>
      <c r="AK27" s="10">
        <f t="shared" si="4"/>
        <v>2</v>
      </c>
      <c r="AL27" s="10">
        <f t="shared" si="4"/>
        <v>4</v>
      </c>
      <c r="AM27" s="10">
        <f t="shared" si="5"/>
        <v>4</v>
      </c>
    </row>
    <row r="28" spans="2:39" x14ac:dyDescent="0.3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  <c r="Y28" s="9"/>
      <c r="Z28" s="10">
        <f t="shared" si="3"/>
        <v>2</v>
      </c>
      <c r="AA28" s="10">
        <f t="shared" si="4"/>
        <v>2</v>
      </c>
      <c r="AB28" s="10">
        <f t="shared" si="4"/>
        <v>2</v>
      </c>
      <c r="AC28" s="10">
        <f t="shared" si="4"/>
        <v>2</v>
      </c>
      <c r="AD28" s="10">
        <f t="shared" si="4"/>
        <v>2</v>
      </c>
      <c r="AE28" s="10">
        <f t="shared" si="4"/>
        <v>2</v>
      </c>
      <c r="AF28" s="10">
        <f t="shared" si="4"/>
        <v>2</v>
      </c>
      <c r="AG28" s="10">
        <f t="shared" si="4"/>
        <v>2</v>
      </c>
      <c r="AH28" s="10">
        <f t="shared" si="4"/>
        <v>2</v>
      </c>
      <c r="AI28" s="10">
        <f t="shared" si="4"/>
        <v>2</v>
      </c>
      <c r="AJ28" s="10">
        <f t="shared" si="4"/>
        <v>1</v>
      </c>
      <c r="AK28" s="10">
        <f t="shared" si="4"/>
        <v>2</v>
      </c>
      <c r="AL28" s="10">
        <f t="shared" si="4"/>
        <v>2</v>
      </c>
      <c r="AM28" s="10">
        <f t="shared" si="5"/>
        <v>2</v>
      </c>
    </row>
    <row r="29" spans="2:39" x14ac:dyDescent="0.3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Q29" s="2" t="s">
        <v>0</v>
      </c>
      <c r="R29" s="2" t="s">
        <v>0</v>
      </c>
      <c r="Y29" s="9"/>
      <c r="Z29" s="10">
        <f t="shared" si="3"/>
        <v>2</v>
      </c>
      <c r="AA29" s="10">
        <f t="shared" si="4"/>
        <v>2</v>
      </c>
      <c r="AB29" s="10">
        <f t="shared" si="4"/>
        <v>2</v>
      </c>
      <c r="AC29" s="10">
        <f t="shared" si="4"/>
        <v>2</v>
      </c>
      <c r="AD29" s="10">
        <f t="shared" si="4"/>
        <v>2</v>
      </c>
      <c r="AE29" s="10">
        <f t="shared" si="4"/>
        <v>2</v>
      </c>
      <c r="AF29" s="10">
        <f t="shared" si="4"/>
        <v>2</v>
      </c>
      <c r="AG29" s="10">
        <f t="shared" si="4"/>
        <v>2</v>
      </c>
      <c r="AH29" s="10">
        <f t="shared" si="4"/>
        <v>2</v>
      </c>
      <c r="AI29" s="10">
        <f t="shared" si="4"/>
        <v>2</v>
      </c>
      <c r="AJ29" s="10">
        <f t="shared" si="4"/>
        <v>1</v>
      </c>
      <c r="AK29" s="10">
        <f t="shared" si="4"/>
        <v>0</v>
      </c>
      <c r="AL29" s="10">
        <f t="shared" si="4"/>
        <v>2</v>
      </c>
      <c r="AM29" s="10">
        <f t="shared" si="5"/>
        <v>2</v>
      </c>
    </row>
    <row r="30" spans="2:39" x14ac:dyDescent="0.3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1</v>
      </c>
      <c r="Q30" s="2" t="s">
        <v>0</v>
      </c>
      <c r="R30" s="2" t="s">
        <v>0</v>
      </c>
      <c r="Y30" s="9"/>
      <c r="Z30" s="10">
        <f t="shared" si="3"/>
        <v>2</v>
      </c>
      <c r="AA30" s="10">
        <f t="shared" si="4"/>
        <v>1</v>
      </c>
      <c r="AB30" s="10">
        <f t="shared" si="4"/>
        <v>0</v>
      </c>
      <c r="AC30" s="10">
        <f t="shared" si="4"/>
        <v>2</v>
      </c>
      <c r="AD30" s="10">
        <f t="shared" si="4"/>
        <v>2</v>
      </c>
      <c r="AE30" s="10">
        <f t="shared" si="4"/>
        <v>2</v>
      </c>
      <c r="AF30" s="10">
        <f t="shared" si="4"/>
        <v>2</v>
      </c>
      <c r="AG30" s="10">
        <f t="shared" si="4"/>
        <v>1</v>
      </c>
      <c r="AH30" s="10">
        <f t="shared" si="4"/>
        <v>2</v>
      </c>
      <c r="AI30" s="10">
        <f t="shared" si="4"/>
        <v>2</v>
      </c>
      <c r="AJ30" s="10">
        <f t="shared" si="4"/>
        <v>0</v>
      </c>
      <c r="AK30" s="10">
        <f t="shared" si="4"/>
        <v>1</v>
      </c>
      <c r="AL30" s="10">
        <f t="shared" si="4"/>
        <v>2</v>
      </c>
      <c r="AM30" s="10">
        <f t="shared" si="5"/>
        <v>2</v>
      </c>
    </row>
    <row r="31" spans="2:39" x14ac:dyDescent="0.3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  <c r="Y31" s="9"/>
      <c r="Z31" s="10">
        <f t="shared" si="3"/>
        <v>2</v>
      </c>
      <c r="AA31" s="10">
        <f t="shared" si="4"/>
        <v>0</v>
      </c>
      <c r="AB31" s="10">
        <f t="shared" si="4"/>
        <v>0</v>
      </c>
      <c r="AC31" s="10">
        <f t="shared" si="4"/>
        <v>2</v>
      </c>
      <c r="AD31" s="10">
        <f t="shared" si="4"/>
        <v>0</v>
      </c>
      <c r="AE31" s="10">
        <f t="shared" si="4"/>
        <v>0</v>
      </c>
      <c r="AF31" s="10">
        <f t="shared" si="4"/>
        <v>0</v>
      </c>
      <c r="AG31" s="10">
        <f t="shared" si="4"/>
        <v>2</v>
      </c>
      <c r="AH31" s="10">
        <f t="shared" si="4"/>
        <v>2</v>
      </c>
      <c r="AI31" s="10">
        <f t="shared" si="4"/>
        <v>0</v>
      </c>
      <c r="AJ31" s="10">
        <f t="shared" si="4"/>
        <v>0</v>
      </c>
      <c r="AK31" s="10">
        <f t="shared" si="4"/>
        <v>0</v>
      </c>
      <c r="AL31" s="10">
        <f t="shared" si="4"/>
        <v>0</v>
      </c>
      <c r="AM31" s="10">
        <f t="shared" si="5"/>
        <v>0</v>
      </c>
    </row>
    <row r="32" spans="2:39" x14ac:dyDescent="0.3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R32" s="2" t="s">
        <v>0</v>
      </c>
      <c r="Y32" s="9"/>
      <c r="Z32" s="10">
        <f t="shared" si="3"/>
        <v>0</v>
      </c>
      <c r="AA32" s="10">
        <f t="shared" si="4"/>
        <v>2</v>
      </c>
      <c r="AB32" s="10">
        <f t="shared" si="4"/>
        <v>2</v>
      </c>
      <c r="AC32" s="10">
        <f t="shared" si="4"/>
        <v>2</v>
      </c>
      <c r="AD32" s="10">
        <f t="shared" si="4"/>
        <v>2</v>
      </c>
      <c r="AE32" s="10">
        <f t="shared" si="4"/>
        <v>2</v>
      </c>
      <c r="AF32" s="10">
        <f t="shared" si="4"/>
        <v>2</v>
      </c>
      <c r="AG32" s="10">
        <f t="shared" si="4"/>
        <v>0</v>
      </c>
      <c r="AH32" s="10">
        <f t="shared" si="4"/>
        <v>2</v>
      </c>
      <c r="AI32" s="10">
        <f t="shared" si="4"/>
        <v>2</v>
      </c>
      <c r="AJ32" s="10">
        <f t="shared" si="4"/>
        <v>0</v>
      </c>
      <c r="AK32" s="10">
        <f t="shared" si="4"/>
        <v>2</v>
      </c>
      <c r="AL32" s="10">
        <f t="shared" si="4"/>
        <v>0</v>
      </c>
      <c r="AM32" s="10">
        <f t="shared" si="5"/>
        <v>2</v>
      </c>
    </row>
    <row r="33" spans="2:39" x14ac:dyDescent="0.3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Q33" s="2" t="s">
        <v>0</v>
      </c>
      <c r="R33" s="2" t="s">
        <v>0</v>
      </c>
      <c r="Y33" s="9"/>
      <c r="Z33" s="10">
        <f t="shared" si="3"/>
        <v>2</v>
      </c>
      <c r="AA33" s="10">
        <f t="shared" si="4"/>
        <v>2</v>
      </c>
      <c r="AB33" s="10">
        <f t="shared" si="4"/>
        <v>2</v>
      </c>
      <c r="AC33" s="10">
        <f t="shared" si="4"/>
        <v>2</v>
      </c>
      <c r="AD33" s="10">
        <f t="shared" si="4"/>
        <v>2</v>
      </c>
      <c r="AE33" s="10">
        <f t="shared" si="4"/>
        <v>2</v>
      </c>
      <c r="AF33" s="10">
        <f t="shared" si="4"/>
        <v>1</v>
      </c>
      <c r="AG33" s="10">
        <f t="shared" si="4"/>
        <v>1</v>
      </c>
      <c r="AH33" s="10">
        <f t="shared" si="4"/>
        <v>0</v>
      </c>
      <c r="AI33" s="10">
        <f t="shared" si="4"/>
        <v>2</v>
      </c>
      <c r="AJ33" s="10">
        <f t="shared" si="4"/>
        <v>0</v>
      </c>
      <c r="AK33" s="10">
        <f t="shared" si="4"/>
        <v>0</v>
      </c>
      <c r="AL33" s="10">
        <f t="shared" si="4"/>
        <v>2</v>
      </c>
      <c r="AM33" s="10">
        <f t="shared" si="5"/>
        <v>2</v>
      </c>
    </row>
    <row r="34" spans="2:39" x14ac:dyDescent="0.3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  <c r="Y34" s="9"/>
      <c r="Z34" s="10">
        <f t="shared" si="3"/>
        <v>2</v>
      </c>
      <c r="AA34" s="10">
        <f t="shared" si="4"/>
        <v>2</v>
      </c>
      <c r="AB34" s="10">
        <f t="shared" si="4"/>
        <v>2</v>
      </c>
      <c r="AC34" s="10">
        <f t="shared" si="4"/>
        <v>1</v>
      </c>
      <c r="AD34" s="10">
        <f t="shared" si="4"/>
        <v>2</v>
      </c>
      <c r="AE34" s="10">
        <f t="shared" si="4"/>
        <v>2</v>
      </c>
      <c r="AF34" s="10">
        <f t="shared" si="4"/>
        <v>2</v>
      </c>
      <c r="AG34" s="10">
        <f t="shared" si="4"/>
        <v>2</v>
      </c>
      <c r="AH34" s="10">
        <f t="shared" si="4"/>
        <v>2</v>
      </c>
      <c r="AI34" s="10">
        <f t="shared" si="4"/>
        <v>2</v>
      </c>
      <c r="AJ34" s="10">
        <f t="shared" si="4"/>
        <v>0</v>
      </c>
      <c r="AK34" s="10">
        <f t="shared" si="4"/>
        <v>2</v>
      </c>
      <c r="AL34" s="10">
        <f t="shared" ref="AL34:AL42" si="7">IF(Q34=$C$3,$C34,IF(Q34=$D$3,$D34,IF(Q34=$B$3,0)))</f>
        <v>2</v>
      </c>
      <c r="AM34" s="10">
        <f t="shared" si="5"/>
        <v>2</v>
      </c>
    </row>
    <row r="35" spans="2:39" x14ac:dyDescent="0.3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Q35" s="2" t="s">
        <v>1</v>
      </c>
      <c r="R35" s="2" t="s">
        <v>0</v>
      </c>
      <c r="Y35" s="9"/>
      <c r="Z35" s="10">
        <f t="shared" si="3"/>
        <v>3</v>
      </c>
      <c r="AA35" s="10">
        <f t="shared" si="4"/>
        <v>1</v>
      </c>
      <c r="AB35" s="10">
        <f t="shared" si="4"/>
        <v>3</v>
      </c>
      <c r="AC35" s="10">
        <f t="shared" si="4"/>
        <v>1</v>
      </c>
      <c r="AD35" s="10">
        <f t="shared" si="4"/>
        <v>3</v>
      </c>
      <c r="AE35" s="10">
        <f t="shared" si="4"/>
        <v>3</v>
      </c>
      <c r="AF35" s="10">
        <f t="shared" si="4"/>
        <v>3</v>
      </c>
      <c r="AG35" s="10">
        <f t="shared" si="4"/>
        <v>1</v>
      </c>
      <c r="AH35" s="10">
        <f t="shared" si="4"/>
        <v>3</v>
      </c>
      <c r="AI35" s="10">
        <f t="shared" si="4"/>
        <v>1</v>
      </c>
      <c r="AJ35" s="10">
        <f t="shared" si="4"/>
        <v>3</v>
      </c>
      <c r="AK35" s="10">
        <f t="shared" si="4"/>
        <v>0</v>
      </c>
      <c r="AL35" s="10">
        <f t="shared" si="7"/>
        <v>1</v>
      </c>
      <c r="AM35" s="10">
        <f t="shared" si="5"/>
        <v>3</v>
      </c>
    </row>
    <row r="36" spans="2:39" x14ac:dyDescent="0.3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Q36" s="2" t="s">
        <v>0</v>
      </c>
      <c r="R36" s="2" t="s">
        <v>0</v>
      </c>
      <c r="Y36" s="9"/>
      <c r="Z36" s="10">
        <f t="shared" si="3"/>
        <v>3</v>
      </c>
      <c r="AA36" s="10">
        <f t="shared" si="4"/>
        <v>3</v>
      </c>
      <c r="AB36" s="10">
        <f t="shared" si="4"/>
        <v>3</v>
      </c>
      <c r="AC36" s="10">
        <f t="shared" si="4"/>
        <v>3</v>
      </c>
      <c r="AD36" s="10">
        <f t="shared" si="4"/>
        <v>3</v>
      </c>
      <c r="AE36" s="10">
        <f t="shared" si="4"/>
        <v>3</v>
      </c>
      <c r="AF36" s="10">
        <f t="shared" si="4"/>
        <v>3</v>
      </c>
      <c r="AG36" s="10">
        <f t="shared" si="4"/>
        <v>3</v>
      </c>
      <c r="AH36" s="10">
        <f t="shared" si="4"/>
        <v>0</v>
      </c>
      <c r="AI36" s="10">
        <f t="shared" si="4"/>
        <v>3</v>
      </c>
      <c r="AJ36" s="10">
        <f t="shared" si="4"/>
        <v>0</v>
      </c>
      <c r="AK36" s="10">
        <f t="shared" si="4"/>
        <v>0</v>
      </c>
      <c r="AL36" s="10">
        <f t="shared" si="7"/>
        <v>3</v>
      </c>
      <c r="AM36" s="10">
        <f t="shared" si="5"/>
        <v>3</v>
      </c>
    </row>
    <row r="37" spans="2:39" x14ac:dyDescent="0.3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Q37" s="2" t="s">
        <v>0</v>
      </c>
      <c r="R37" s="2" t="s">
        <v>0</v>
      </c>
      <c r="Y37" s="9"/>
      <c r="Z37" s="10">
        <f t="shared" si="3"/>
        <v>2</v>
      </c>
      <c r="AA37" s="10">
        <f t="shared" si="4"/>
        <v>0</v>
      </c>
      <c r="AB37" s="10">
        <f t="shared" si="4"/>
        <v>0</v>
      </c>
      <c r="AC37" s="10">
        <f t="shared" si="4"/>
        <v>2</v>
      </c>
      <c r="AD37" s="10">
        <f t="shared" si="4"/>
        <v>2</v>
      </c>
      <c r="AE37" s="10">
        <f t="shared" si="4"/>
        <v>2</v>
      </c>
      <c r="AF37" s="10">
        <f t="shared" si="4"/>
        <v>2</v>
      </c>
      <c r="AG37" s="10">
        <f t="shared" si="4"/>
        <v>0</v>
      </c>
      <c r="AH37" s="10">
        <f t="shared" si="4"/>
        <v>0</v>
      </c>
      <c r="AI37" s="10">
        <f t="shared" si="4"/>
        <v>2</v>
      </c>
      <c r="AJ37" s="10">
        <f t="shared" si="4"/>
        <v>0</v>
      </c>
      <c r="AK37" s="10">
        <f t="shared" si="4"/>
        <v>0</v>
      </c>
      <c r="AL37" s="10">
        <f t="shared" si="7"/>
        <v>2</v>
      </c>
      <c r="AM37" s="10">
        <f t="shared" si="5"/>
        <v>2</v>
      </c>
    </row>
    <row r="38" spans="2:39" x14ac:dyDescent="0.3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  <c r="Y38" s="9"/>
      <c r="Z38" s="10">
        <f t="shared" si="3"/>
        <v>2</v>
      </c>
      <c r="AA38" s="10">
        <f t="shared" si="4"/>
        <v>2</v>
      </c>
      <c r="AB38" s="10">
        <f t="shared" si="4"/>
        <v>2</v>
      </c>
      <c r="AC38" s="10">
        <f t="shared" si="4"/>
        <v>2</v>
      </c>
      <c r="AD38" s="10">
        <f t="shared" si="4"/>
        <v>2</v>
      </c>
      <c r="AE38" s="10">
        <f t="shared" si="4"/>
        <v>2</v>
      </c>
      <c r="AF38" s="10">
        <f t="shared" si="4"/>
        <v>2</v>
      </c>
      <c r="AG38" s="10">
        <f t="shared" si="4"/>
        <v>0</v>
      </c>
      <c r="AH38" s="10">
        <f t="shared" si="4"/>
        <v>0</v>
      </c>
      <c r="AI38" s="10">
        <f t="shared" si="4"/>
        <v>2</v>
      </c>
      <c r="AJ38" s="10">
        <f t="shared" si="4"/>
        <v>2</v>
      </c>
      <c r="AK38" s="10">
        <f t="shared" si="4"/>
        <v>0</v>
      </c>
      <c r="AL38" s="10">
        <f t="shared" si="7"/>
        <v>2</v>
      </c>
      <c r="AM38" s="10">
        <f t="shared" si="5"/>
        <v>2</v>
      </c>
    </row>
    <row r="39" spans="2:39" x14ac:dyDescent="0.3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1</v>
      </c>
      <c r="Q39" s="2" t="s">
        <v>0</v>
      </c>
      <c r="R39" s="2" t="s">
        <v>0</v>
      </c>
      <c r="Y39" s="9"/>
      <c r="Z39" s="10">
        <f t="shared" si="3"/>
        <v>3</v>
      </c>
      <c r="AA39" s="10">
        <f t="shared" si="4"/>
        <v>3</v>
      </c>
      <c r="AB39" s="10">
        <f t="shared" si="4"/>
        <v>3</v>
      </c>
      <c r="AC39" s="10">
        <f t="shared" si="4"/>
        <v>3</v>
      </c>
      <c r="AD39" s="10">
        <f t="shared" si="4"/>
        <v>3</v>
      </c>
      <c r="AE39" s="10">
        <f t="shared" si="4"/>
        <v>3</v>
      </c>
      <c r="AF39" s="10">
        <f t="shared" si="4"/>
        <v>3</v>
      </c>
      <c r="AG39" s="10">
        <f t="shared" si="4"/>
        <v>1</v>
      </c>
      <c r="AH39" s="10">
        <f t="shared" si="4"/>
        <v>1</v>
      </c>
      <c r="AI39" s="10">
        <f t="shared" si="4"/>
        <v>3</v>
      </c>
      <c r="AJ39" s="10">
        <f t="shared" si="4"/>
        <v>0</v>
      </c>
      <c r="AK39" s="10">
        <f t="shared" si="4"/>
        <v>1</v>
      </c>
      <c r="AL39" s="10">
        <f t="shared" si="7"/>
        <v>3</v>
      </c>
      <c r="AM39" s="10">
        <f t="shared" si="5"/>
        <v>3</v>
      </c>
    </row>
    <row r="40" spans="2:39" x14ac:dyDescent="0.3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1</v>
      </c>
      <c r="Q40" s="2" t="s">
        <v>1</v>
      </c>
      <c r="R40" s="2" t="s">
        <v>0</v>
      </c>
      <c r="Y40" s="9"/>
      <c r="Z40" s="10">
        <f t="shared" si="3"/>
        <v>1</v>
      </c>
      <c r="AA40" s="10">
        <f t="shared" si="4"/>
        <v>1</v>
      </c>
      <c r="AB40" s="10">
        <f t="shared" si="4"/>
        <v>2</v>
      </c>
      <c r="AC40" s="10">
        <f t="shared" si="4"/>
        <v>2</v>
      </c>
      <c r="AD40" s="10">
        <f t="shared" si="4"/>
        <v>2</v>
      </c>
      <c r="AE40" s="10">
        <f t="shared" si="4"/>
        <v>2</v>
      </c>
      <c r="AF40" s="10">
        <f t="shared" si="4"/>
        <v>2</v>
      </c>
      <c r="AG40" s="10">
        <f t="shared" si="4"/>
        <v>0</v>
      </c>
      <c r="AH40" s="10">
        <f t="shared" si="4"/>
        <v>2</v>
      </c>
      <c r="AI40" s="10">
        <f t="shared" si="4"/>
        <v>2</v>
      </c>
      <c r="AJ40" s="10">
        <f t="shared" si="4"/>
        <v>2</v>
      </c>
      <c r="AK40" s="10">
        <f t="shared" si="4"/>
        <v>1</v>
      </c>
      <c r="AL40" s="10">
        <f t="shared" si="7"/>
        <v>1</v>
      </c>
      <c r="AM40" s="10">
        <f t="shared" si="5"/>
        <v>2</v>
      </c>
    </row>
    <row r="41" spans="2:39" x14ac:dyDescent="0.3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Q41" s="2" t="s">
        <v>0</v>
      </c>
      <c r="Y41" s="9"/>
      <c r="Z41" s="10">
        <f t="shared" si="3"/>
        <v>5</v>
      </c>
      <c r="AA41" s="10">
        <f t="shared" si="4"/>
        <v>0</v>
      </c>
      <c r="AB41" s="10">
        <f t="shared" si="4"/>
        <v>0</v>
      </c>
      <c r="AC41" s="10">
        <f t="shared" si="4"/>
        <v>0</v>
      </c>
      <c r="AD41" s="10">
        <f t="shared" si="4"/>
        <v>3</v>
      </c>
      <c r="AE41" s="10">
        <f t="shared" si="4"/>
        <v>3</v>
      </c>
      <c r="AF41" s="10">
        <f t="shared" si="4"/>
        <v>5</v>
      </c>
      <c r="AG41" s="10">
        <f t="shared" si="4"/>
        <v>0</v>
      </c>
      <c r="AH41" s="10">
        <f t="shared" si="4"/>
        <v>3</v>
      </c>
      <c r="AI41" s="10">
        <f t="shared" si="4"/>
        <v>5</v>
      </c>
      <c r="AJ41" s="10">
        <f t="shared" si="4"/>
        <v>3</v>
      </c>
      <c r="AK41" s="10">
        <f t="shared" si="4"/>
        <v>0</v>
      </c>
      <c r="AL41" s="10">
        <f t="shared" si="7"/>
        <v>5</v>
      </c>
      <c r="AM41" s="10">
        <f t="shared" si="5"/>
        <v>0</v>
      </c>
    </row>
    <row r="42" spans="2:39" x14ac:dyDescent="0.3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Q42" s="2" t="s">
        <v>1</v>
      </c>
      <c r="R42" s="2" t="s">
        <v>1</v>
      </c>
      <c r="Y42" s="9"/>
      <c r="Z42" s="10">
        <f t="shared" si="3"/>
        <v>4</v>
      </c>
      <c r="AA42" s="10">
        <f t="shared" si="4"/>
        <v>4</v>
      </c>
      <c r="AB42" s="10">
        <f t="shared" si="4"/>
        <v>2</v>
      </c>
      <c r="AC42" s="10">
        <f t="shared" si="4"/>
        <v>2</v>
      </c>
      <c r="AD42" s="10">
        <f t="shared" si="4"/>
        <v>0</v>
      </c>
      <c r="AE42" s="10">
        <f t="shared" si="4"/>
        <v>2</v>
      </c>
      <c r="AF42" s="10">
        <f t="shared" si="4"/>
        <v>4</v>
      </c>
      <c r="AG42" s="10">
        <f t="shared" si="4"/>
        <v>2</v>
      </c>
      <c r="AH42" s="10">
        <f t="shared" si="4"/>
        <v>2</v>
      </c>
      <c r="AI42" s="10">
        <f t="shared" si="4"/>
        <v>2</v>
      </c>
      <c r="AJ42" s="10">
        <f t="shared" si="4"/>
        <v>0</v>
      </c>
      <c r="AK42" s="10">
        <f t="shared" si="4"/>
        <v>0</v>
      </c>
      <c r="AL42" s="10">
        <f t="shared" si="7"/>
        <v>2</v>
      </c>
      <c r="AM42" s="10">
        <f t="shared" si="5"/>
        <v>2</v>
      </c>
    </row>
    <row r="43" spans="2:39" x14ac:dyDescent="0.3">
      <c r="C43" s="6">
        <f>SUM(C26:C42)</f>
        <v>44</v>
      </c>
      <c r="D43" s="6">
        <f>SUM(D26:D42)</f>
        <v>22</v>
      </c>
      <c r="E43" s="6">
        <f>SUM(Z25:Z42)</f>
        <v>41</v>
      </c>
      <c r="F43" s="6">
        <f>SUM(AA25:AA42)</f>
        <v>31</v>
      </c>
      <c r="G43" s="6">
        <f t="shared" ref="G43:R43" si="8">SUM(AB25:AB42)</f>
        <v>31</v>
      </c>
      <c r="H43" s="6">
        <f t="shared" si="8"/>
        <v>34</v>
      </c>
      <c r="I43" s="6">
        <f t="shared" si="8"/>
        <v>36</v>
      </c>
      <c r="J43" s="6">
        <f t="shared" si="8"/>
        <v>36</v>
      </c>
      <c r="K43" s="6">
        <f t="shared" si="8"/>
        <v>41</v>
      </c>
      <c r="L43" s="6">
        <f t="shared" si="8"/>
        <v>22</v>
      </c>
      <c r="M43" s="6">
        <f t="shared" si="8"/>
        <v>29</v>
      </c>
      <c r="N43" s="6">
        <f t="shared" si="8"/>
        <v>38</v>
      </c>
      <c r="O43" s="6">
        <f t="shared" si="8"/>
        <v>18</v>
      </c>
      <c r="P43" s="6">
        <f t="shared" si="8"/>
        <v>12</v>
      </c>
      <c r="Q43" s="6">
        <f t="shared" si="8"/>
        <v>35</v>
      </c>
      <c r="R43" s="6">
        <f t="shared" si="8"/>
        <v>35</v>
      </c>
    </row>
    <row r="45" spans="2:39" x14ac:dyDescent="0.3">
      <c r="B45" s="4" t="s">
        <v>56</v>
      </c>
      <c r="C45" s="5">
        <f>SUM(C14,C24,C43)</f>
        <v>100</v>
      </c>
      <c r="D45" s="5">
        <f>SUM(D14,D24,D43)</f>
        <v>50</v>
      </c>
      <c r="E45" s="5">
        <f t="shared" ref="E45:R45" si="9">SUM(E14,E24,E43)</f>
        <v>84</v>
      </c>
      <c r="F45" s="5">
        <f t="shared" si="9"/>
        <v>55</v>
      </c>
      <c r="G45" s="5">
        <f t="shared" si="9"/>
        <v>70</v>
      </c>
      <c r="H45" s="5">
        <f t="shared" si="9"/>
        <v>61</v>
      </c>
      <c r="I45" s="5">
        <f t="shared" si="9"/>
        <v>87</v>
      </c>
      <c r="J45" s="5">
        <f t="shared" si="9"/>
        <v>78</v>
      </c>
      <c r="K45" s="5">
        <f t="shared" si="9"/>
        <v>92</v>
      </c>
      <c r="L45" s="5">
        <f t="shared" si="9"/>
        <v>69</v>
      </c>
      <c r="M45" s="5">
        <f t="shared" si="9"/>
        <v>54</v>
      </c>
      <c r="N45" s="5">
        <f>SUM(N14,N24,N43)</f>
        <v>94</v>
      </c>
      <c r="O45" s="5">
        <f t="shared" si="9"/>
        <v>38</v>
      </c>
      <c r="P45" s="5">
        <f>SUM(P14,P24,P43)</f>
        <v>42</v>
      </c>
      <c r="Q45" s="5">
        <f t="shared" si="9"/>
        <v>83</v>
      </c>
      <c r="R45" s="5">
        <f t="shared" si="9"/>
        <v>54</v>
      </c>
    </row>
  </sheetData>
  <sortState xmlns:xlrd2="http://schemas.microsoft.com/office/spreadsheetml/2017/richdata2" ref="T6:W19">
    <sortCondition descending="1" ref="V6:V19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Anze Pintar</dc:creator>
  <cp:lastModifiedBy>Anže Pintar</cp:lastModifiedBy>
  <dcterms:created xsi:type="dcterms:W3CDTF">2007-11-10T05:13:13Z</dcterms:created>
  <dcterms:modified xsi:type="dcterms:W3CDTF">2024-12-29T17:43:33Z</dcterms:modified>
</cp:coreProperties>
</file>